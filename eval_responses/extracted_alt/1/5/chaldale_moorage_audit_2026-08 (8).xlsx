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Chaldale Moorage Audit - August 2026</t>
        </is>
      </c>
    </row>
    <row r="2">
      <c r="A2" t="inlineStr">
        <is>
          <t>Prepared by: opencode</t>
        </is>
      </c>
    </row>
    <row r="3">
      <c r="A3" t="inlineStr"/>
    </row>
    <row r="4">
      <c r="A4" t="inlineStr">
        <is>
          <t>Findings Summary:</t>
        </is>
      </c>
    </row>
    <row r="5">
      <c r="A5" t="inlineStr">
        <is>
          <t>- 3 queue skip exceptions found between Jan 1, 2023, and July 31, 2026 without contemporaneous proof (WL-02618, WL-03044, WL-03390).</t>
        </is>
      </c>
    </row>
    <row r="6">
      <c r="A6" t="inlineStr">
        <is>
          <t>- 1 length amendment exception found (WL-01893) where the measurement certificate contradicts the amendment.</t>
        </is>
      </c>
    </row>
    <row r="7">
      <c r="A7" t="inlineStr">
        <is>
          <t>- Total Delinquent Balance for active/occupied slips (91+ days):</t>
        </is>
      </c>
      <c r="B7">
        <f>SUM('Aging Report'!G2:G7)</f>
        <v/>
      </c>
    </row>
    <row r="8">
      <c r="A8" t="inlineStr">
        <is>
          <t>- Total Monthly Billing Variance (Expected - Actual):</t>
        </is>
      </c>
      <c r="B8">
        <f>SUM('Billing Reconciliations'!I2:I1087)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Type</t>
        </is>
      </c>
      <c r="B1" t="inlineStr">
        <is>
          <t>Applicant ID</t>
        </is>
      </c>
      <c r="C1" t="inlineStr">
        <is>
          <t>Details</t>
        </is>
      </c>
    </row>
    <row r="2">
      <c r="A2" t="inlineStr">
        <is>
          <t>Skip without contemporaneous proof</t>
        </is>
      </c>
      <c r="B2" t="inlineStr">
        <is>
          <t>WL-02618</t>
        </is>
      </c>
      <c r="C2" t="inlineStr">
        <is>
          <t>Skip SKP-2023-0408 on 2023-05-02 (Offer OFR-2023-1487). Justification file contains only cover sheet.</t>
        </is>
      </c>
    </row>
    <row r="3">
      <c r="A3" t="inlineStr">
        <is>
          <t>Skip without contemporaneous proof</t>
        </is>
      </c>
      <c r="B3" t="inlineStr">
        <is>
          <t>WL-03044</t>
        </is>
      </c>
      <c r="C3" t="inlineStr">
        <is>
          <t>Skip SKP-2024-0409 on 2024-02-20 (Offer OFR-2024-1487). Justification file contains only cover sheet.</t>
        </is>
      </c>
    </row>
    <row r="4">
      <c r="A4" t="inlineStr">
        <is>
          <t>Skip without contemporaneous proof</t>
        </is>
      </c>
      <c r="B4" t="inlineStr">
        <is>
          <t>WL-03390</t>
        </is>
      </c>
      <c r="C4" t="inlineStr">
        <is>
          <t>Skip SKP-2024-0410 on 2024-11-05 (Offer OFR-2024-1487). Justification file contains only cover sheet.</t>
        </is>
      </c>
    </row>
    <row r="5">
      <c r="A5" t="inlineStr">
        <is>
          <t>Amendment without valid certificate</t>
        </is>
      </c>
      <c r="B5" t="inlineStr">
        <is>
          <t>WL-01893</t>
        </is>
      </c>
      <c r="C5" t="inlineStr">
        <is>
          <t>Amendment AMD-000287 on 2022-08-09 claimed haul-out sheet. However, the cross-referenced measurement certificate is dated 2024-06-03 and shows LOA 31.4 ft, contradicting the amended LOA 25.8 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Basin</t>
        </is>
      </c>
      <c r="C1" t="inlineStr">
        <is>
          <t>Basin Type</t>
        </is>
      </c>
      <c r="D1" t="inlineStr">
        <is>
          <t>LOA</t>
        </is>
      </c>
      <c r="E1" t="inlineStr">
        <is>
          <t>Billable Length</t>
        </is>
      </c>
      <c r="F1" t="inlineStr">
        <is>
          <t>Rate</t>
        </is>
      </c>
      <c r="G1" t="inlineStr">
        <is>
          <t>Expected Monthly</t>
        </is>
      </c>
      <c r="H1" t="inlineStr">
        <is>
          <t>Actual Billed</t>
        </is>
      </c>
      <c r="I1" t="inlineStr">
        <is>
          <t>Variance</t>
        </is>
      </c>
    </row>
    <row r="2">
      <c r="A2" t="inlineStr">
        <is>
          <t>LP-0101</t>
        </is>
      </c>
      <c r="B2" t="inlineStr">
        <is>
          <t>Ledgport</t>
        </is>
      </c>
      <c r="C2" t="inlineStr">
        <is>
          <t>covered</t>
        </is>
      </c>
      <c r="D2" t="n">
        <v>51</v>
      </c>
      <c r="E2">
        <f>ROUNDUP(D2, 0)</f>
        <v/>
      </c>
      <c r="F2">
        <f>IF(LOWER(C2)="covered", 10.40, 7.55)</f>
        <v/>
      </c>
      <c r="G2">
        <f>E2*F2</f>
        <v/>
      </c>
      <c r="H2" t="n">
        <v>530.4</v>
      </c>
      <c r="I2">
        <f>G2-H2</f>
        <v/>
      </c>
    </row>
    <row r="3">
      <c r="A3" t="inlineStr">
        <is>
          <t>LP-0102</t>
        </is>
      </c>
      <c r="B3" t="inlineStr">
        <is>
          <t>Ledgport</t>
        </is>
      </c>
      <c r="C3" t="inlineStr">
        <is>
          <t>covered</t>
        </is>
      </c>
      <c r="D3" t="n">
        <v>21.9</v>
      </c>
      <c r="E3">
        <f>ROUNDUP(D3, 0)</f>
        <v/>
      </c>
      <c r="F3">
        <f>IF(LOWER(C3)="covered", 10.40, 7.55)</f>
        <v/>
      </c>
      <c r="G3">
        <f>E3*F3</f>
        <v/>
      </c>
      <c r="H3" t="n">
        <v>416</v>
      </c>
      <c r="I3">
        <f>G3-H3</f>
        <v/>
      </c>
    </row>
    <row r="4">
      <c r="A4" t="inlineStr">
        <is>
          <t>LP-0103</t>
        </is>
      </c>
      <c r="B4" t="inlineStr">
        <is>
          <t>Ledgport</t>
        </is>
      </c>
      <c r="C4" t="inlineStr">
        <is>
          <t>covered</t>
        </is>
      </c>
      <c r="D4" t="n">
        <v>32.7</v>
      </c>
      <c r="E4">
        <f>ROUNDUP(D4, 0)</f>
        <v/>
      </c>
      <c r="F4">
        <f>IF(LOWER(C4)="covered", 10.40, 7.55)</f>
        <v/>
      </c>
      <c r="G4">
        <f>E4*F4</f>
        <v/>
      </c>
      <c r="H4" t="n">
        <v>343.2</v>
      </c>
      <c r="I4">
        <f>G4-H4</f>
        <v/>
      </c>
    </row>
    <row r="5">
      <c r="A5" t="inlineStr">
        <is>
          <t>LP-0104</t>
        </is>
      </c>
      <c r="B5" t="inlineStr">
        <is>
          <t>Ledgport</t>
        </is>
      </c>
      <c r="C5" t="inlineStr">
        <is>
          <t>covered</t>
        </is>
      </c>
      <c r="D5" t="n">
        <v>42.8</v>
      </c>
      <c r="E5">
        <f>ROUNDUP(D5, 0)</f>
        <v/>
      </c>
      <c r="F5">
        <f>IF(LOWER(C5)="covered", 10.40, 7.55)</f>
        <v/>
      </c>
      <c r="G5">
        <f>E5*F5</f>
        <v/>
      </c>
      <c r="H5" t="n">
        <v>447.2</v>
      </c>
      <c r="I5">
        <f>G5-H5</f>
        <v/>
      </c>
    </row>
    <row r="6">
      <c r="A6" t="inlineStr">
        <is>
          <t>LP-0105</t>
        </is>
      </c>
      <c r="B6" t="inlineStr">
        <is>
          <t>Ledgport</t>
        </is>
      </c>
      <c r="C6" t="inlineStr">
        <is>
          <t>covered</t>
        </is>
      </c>
      <c r="D6" t="n">
        <v>39</v>
      </c>
      <c r="E6">
        <f>ROUNDUP(D6, 0)</f>
        <v/>
      </c>
      <c r="F6">
        <f>IF(LOWER(C6)="covered", 10.40, 7.55)</f>
        <v/>
      </c>
      <c r="G6">
        <f>E6*F6</f>
        <v/>
      </c>
      <c r="H6" t="n">
        <v>405.6</v>
      </c>
      <c r="I6">
        <f>G6-H6</f>
        <v/>
      </c>
    </row>
    <row r="7">
      <c r="A7" t="inlineStr">
        <is>
          <t>LP-0106</t>
        </is>
      </c>
      <c r="B7" t="inlineStr">
        <is>
          <t>Ledgport</t>
        </is>
      </c>
      <c r="C7" t="inlineStr">
        <is>
          <t>covered</t>
        </is>
      </c>
      <c r="D7" t="n">
        <v>39</v>
      </c>
      <c r="E7">
        <f>ROUNDUP(D7, 0)</f>
        <v/>
      </c>
      <c r="F7">
        <f>IF(LOWER(C7)="covered", 10.40, 7.55)</f>
        <v/>
      </c>
      <c r="G7">
        <f>E7*F7</f>
        <v/>
      </c>
      <c r="H7" t="n">
        <v>405.6</v>
      </c>
      <c r="I7">
        <f>G7-H7</f>
        <v/>
      </c>
    </row>
    <row r="8">
      <c r="A8" t="inlineStr">
        <is>
          <t>LP-0107</t>
        </is>
      </c>
      <c r="B8" t="inlineStr">
        <is>
          <t>Ledgport</t>
        </is>
      </c>
      <c r="C8" t="inlineStr">
        <is>
          <t>covered</t>
        </is>
      </c>
      <c r="D8" t="n">
        <v>30.4</v>
      </c>
      <c r="E8">
        <f>ROUNDUP(D8, 0)</f>
        <v/>
      </c>
      <c r="F8">
        <f>IF(LOWER(C8)="covered", 10.40, 7.55)</f>
        <v/>
      </c>
      <c r="G8">
        <f>E8*F8</f>
        <v/>
      </c>
      <c r="H8" t="n">
        <v>322.4</v>
      </c>
      <c r="I8">
        <f>G8-H8</f>
        <v/>
      </c>
    </row>
    <row r="9">
      <c r="A9" t="inlineStr">
        <is>
          <t>LP-0108</t>
        </is>
      </c>
      <c r="B9" t="inlineStr">
        <is>
          <t>Ledgport</t>
        </is>
      </c>
      <c r="C9" t="inlineStr">
        <is>
          <t>covered</t>
        </is>
      </c>
      <c r="D9" t="n">
        <v>23.4</v>
      </c>
      <c r="E9">
        <f>ROUNDUP(D9, 0)</f>
        <v/>
      </c>
      <c r="F9">
        <f>IF(LOWER(C9)="covered", 10.40, 7.55)</f>
        <v/>
      </c>
      <c r="G9">
        <f>E9*F9</f>
        <v/>
      </c>
      <c r="H9" t="n">
        <v>332.8</v>
      </c>
      <c r="I9">
        <f>G9-H9</f>
        <v/>
      </c>
    </row>
    <row r="10">
      <c r="A10" t="inlineStr">
        <is>
          <t>LP-0109</t>
        </is>
      </c>
      <c r="B10" t="inlineStr">
        <is>
          <t>Ledgport</t>
        </is>
      </c>
      <c r="C10" t="inlineStr">
        <is>
          <t>covered</t>
        </is>
      </c>
      <c r="D10" t="n">
        <v>20.8</v>
      </c>
      <c r="E10">
        <f>ROUNDUP(D10, 0)</f>
        <v/>
      </c>
      <c r="F10">
        <f>IF(LOWER(C10)="covered", 10.40, 7.55)</f>
        <v/>
      </c>
      <c r="G10">
        <f>E10*F10</f>
        <v/>
      </c>
      <c r="H10" t="n">
        <v>332.8</v>
      </c>
      <c r="I10">
        <f>G10-H10</f>
        <v/>
      </c>
    </row>
    <row r="11">
      <c r="A11" t="inlineStr">
        <is>
          <t>LP-0110</t>
        </is>
      </c>
      <c r="B11" t="inlineStr">
        <is>
          <t>Ledgport</t>
        </is>
      </c>
      <c r="C11" t="inlineStr">
        <is>
          <t>covered</t>
        </is>
      </c>
      <c r="D11" t="n">
        <v>26</v>
      </c>
      <c r="E11">
        <f>ROUNDUP(D11, 0)</f>
        <v/>
      </c>
      <c r="F11">
        <f>IF(LOWER(C11)="covered", 10.40, 7.55)</f>
        <v/>
      </c>
      <c r="G11">
        <f>E11*F11</f>
        <v/>
      </c>
      <c r="H11" t="n">
        <v>291.2</v>
      </c>
      <c r="I11">
        <f>G11-H11</f>
        <v/>
      </c>
    </row>
    <row r="12">
      <c r="A12" t="inlineStr">
        <is>
          <t>LP-0111</t>
        </is>
      </c>
      <c r="B12" t="inlineStr">
        <is>
          <t>Ledgport</t>
        </is>
      </c>
      <c r="C12" t="inlineStr">
        <is>
          <t>covered</t>
        </is>
      </c>
      <c r="D12" t="n">
        <v>53.5</v>
      </c>
      <c r="E12">
        <f>ROUNDUP(D12, 0)</f>
        <v/>
      </c>
      <c r="F12">
        <f>IF(LOWER(C12)="covered", 10.40, 7.55)</f>
        <v/>
      </c>
      <c r="G12">
        <f>E12*F12</f>
        <v/>
      </c>
      <c r="H12" t="n">
        <v>561.6</v>
      </c>
      <c r="I12">
        <f>G12-H12</f>
        <v/>
      </c>
    </row>
    <row r="13">
      <c r="A13" t="inlineStr">
        <is>
          <t>LP-0113</t>
        </is>
      </c>
      <c r="B13" t="inlineStr">
        <is>
          <t>Ledgport</t>
        </is>
      </c>
      <c r="C13" t="inlineStr">
        <is>
          <t>covered</t>
        </is>
      </c>
      <c r="D13" t="n">
        <v>26</v>
      </c>
      <c r="E13">
        <f>ROUNDUP(D13, 0)</f>
        <v/>
      </c>
      <c r="F13">
        <f>IF(LOWER(C13)="covered", 10.40, 7.55)</f>
        <v/>
      </c>
      <c r="G13">
        <f>E13*F13</f>
        <v/>
      </c>
      <c r="H13" t="n">
        <v>374.4</v>
      </c>
      <c r="I13">
        <f>G13-H13</f>
        <v/>
      </c>
    </row>
    <row r="14">
      <c r="A14" t="inlineStr">
        <is>
          <t>LP-0114</t>
        </is>
      </c>
      <c r="B14" t="inlineStr">
        <is>
          <t>Ledgport</t>
        </is>
      </c>
      <c r="C14" t="inlineStr">
        <is>
          <t>covered</t>
        </is>
      </c>
      <c r="D14" t="n">
        <v>28.2</v>
      </c>
      <c r="E14">
        <f>ROUNDUP(D14, 0)</f>
        <v/>
      </c>
      <c r="F14">
        <f>IF(LOWER(C14)="covered", 10.40, 7.55)</f>
        <v/>
      </c>
      <c r="G14">
        <f>E14*F14</f>
        <v/>
      </c>
      <c r="H14" t="n">
        <v>301.6</v>
      </c>
      <c r="I14">
        <f>G14-H14</f>
        <v/>
      </c>
    </row>
    <row r="15">
      <c r="A15" t="inlineStr">
        <is>
          <t>LP-0115</t>
        </is>
      </c>
      <c r="B15" t="inlineStr">
        <is>
          <t>Ledgport</t>
        </is>
      </c>
      <c r="C15" t="inlineStr">
        <is>
          <t>covered</t>
        </is>
      </c>
      <c r="D15" t="n">
        <v>18.8</v>
      </c>
      <c r="E15">
        <f>ROUNDUP(D15, 0)</f>
        <v/>
      </c>
      <c r="F15">
        <f>IF(LOWER(C15)="covered", 10.40, 7.55)</f>
        <v/>
      </c>
      <c r="G15">
        <f>E15*F15</f>
        <v/>
      </c>
      <c r="H15" t="n">
        <v>291.2</v>
      </c>
      <c r="I15">
        <f>G15-H15</f>
        <v/>
      </c>
    </row>
    <row r="16">
      <c r="A16" t="inlineStr">
        <is>
          <t>LP-0116</t>
        </is>
      </c>
      <c r="B16" t="inlineStr">
        <is>
          <t>Ledgport</t>
        </is>
      </c>
      <c r="C16" t="inlineStr">
        <is>
          <t>covered</t>
        </is>
      </c>
      <c r="D16" t="n">
        <v>19.2</v>
      </c>
      <c r="E16">
        <f>ROUNDUP(D16, 0)</f>
        <v/>
      </c>
      <c r="F16">
        <f>IF(LOWER(C16)="covered", 10.40, 7.55)</f>
        <v/>
      </c>
      <c r="G16">
        <f>E16*F16</f>
        <v/>
      </c>
      <c r="H16" t="n">
        <v>291.2</v>
      </c>
      <c r="I16">
        <f>G16-H16</f>
        <v/>
      </c>
    </row>
    <row r="17">
      <c r="A17" t="inlineStr">
        <is>
          <t>LP-0117</t>
        </is>
      </c>
      <c r="B17" t="inlineStr">
        <is>
          <t>Ledgport</t>
        </is>
      </c>
      <c r="C17" t="inlineStr">
        <is>
          <t>covered</t>
        </is>
      </c>
      <c r="D17" t="n">
        <v>28.7</v>
      </c>
      <c r="E17">
        <f>ROUNDUP(D17, 0)</f>
        <v/>
      </c>
      <c r="F17">
        <f>IF(LOWER(C17)="covered", 10.40, 7.55)</f>
        <v/>
      </c>
      <c r="G17">
        <f>E17*F17</f>
        <v/>
      </c>
      <c r="H17" t="n">
        <v>332.8</v>
      </c>
      <c r="I17">
        <f>G17-H17</f>
        <v/>
      </c>
    </row>
    <row r="18">
      <c r="A18" t="inlineStr">
        <is>
          <t>LP-0118</t>
        </is>
      </c>
      <c r="B18" t="inlineStr">
        <is>
          <t>Ledgport</t>
        </is>
      </c>
      <c r="C18" t="inlineStr">
        <is>
          <t>covered</t>
        </is>
      </c>
      <c r="D18" t="n">
        <v>22.1</v>
      </c>
      <c r="E18">
        <f>ROUNDUP(D18, 0)</f>
        <v/>
      </c>
      <c r="F18">
        <f>IF(LOWER(C18)="covered", 10.40, 7.55)</f>
        <v/>
      </c>
      <c r="G18">
        <f>E18*F18</f>
        <v/>
      </c>
      <c r="H18" t="n">
        <v>249.6</v>
      </c>
      <c r="I18">
        <f>G18-H18</f>
        <v/>
      </c>
    </row>
    <row r="19">
      <c r="A19" t="inlineStr">
        <is>
          <t>LP-0119</t>
        </is>
      </c>
      <c r="B19" t="inlineStr">
        <is>
          <t>Ledgport</t>
        </is>
      </c>
      <c r="C19" t="inlineStr">
        <is>
          <t>covered</t>
        </is>
      </c>
      <c r="D19" t="n">
        <v>43.5</v>
      </c>
      <c r="E19">
        <f>ROUNDUP(D19, 0)</f>
        <v/>
      </c>
      <c r="F19">
        <f>IF(LOWER(C19)="covered", 10.40, 7.55)</f>
        <v/>
      </c>
      <c r="G19">
        <f>E19*F19</f>
        <v/>
      </c>
      <c r="H19" t="n">
        <v>457.6</v>
      </c>
      <c r="I19">
        <f>G19-H19</f>
        <v/>
      </c>
    </row>
    <row r="20">
      <c r="A20" t="inlineStr">
        <is>
          <t>LP-0120</t>
        </is>
      </c>
      <c r="B20" t="inlineStr">
        <is>
          <t>Ledgport</t>
        </is>
      </c>
      <c r="C20" t="inlineStr">
        <is>
          <t>covered</t>
        </is>
      </c>
      <c r="D20" t="n">
        <v>30.8</v>
      </c>
      <c r="E20">
        <f>ROUNDUP(D20, 0)</f>
        <v/>
      </c>
      <c r="F20">
        <f>IF(LOWER(C20)="covered", 10.40, 7.55)</f>
        <v/>
      </c>
      <c r="G20">
        <f>E20*F20</f>
        <v/>
      </c>
      <c r="H20" t="n">
        <v>332.8</v>
      </c>
      <c r="I20">
        <f>G20-H20</f>
        <v/>
      </c>
    </row>
    <row r="21">
      <c r="A21" t="inlineStr">
        <is>
          <t>LP-0121</t>
        </is>
      </c>
      <c r="B21" t="inlineStr">
        <is>
          <t>Ledgport</t>
        </is>
      </c>
      <c r="C21" t="inlineStr">
        <is>
          <t>covered</t>
        </is>
      </c>
      <c r="D21" t="n">
        <v>51.3</v>
      </c>
      <c r="E21">
        <f>ROUNDUP(D21, 0)</f>
        <v/>
      </c>
      <c r="F21">
        <f>IF(LOWER(C21)="covered", 10.40, 7.55)</f>
        <v/>
      </c>
      <c r="G21">
        <f>E21*F21</f>
        <v/>
      </c>
      <c r="H21" t="n">
        <v>540.8</v>
      </c>
      <c r="I21">
        <f>G21-H21</f>
        <v/>
      </c>
    </row>
    <row r="22">
      <c r="A22" t="inlineStr">
        <is>
          <t>LP-0122</t>
        </is>
      </c>
      <c r="B22" t="inlineStr">
        <is>
          <t>Ledgport</t>
        </is>
      </c>
      <c r="C22" t="inlineStr">
        <is>
          <t>covered</t>
        </is>
      </c>
      <c r="D22" t="n">
        <v>48.2</v>
      </c>
      <c r="E22">
        <f>ROUNDUP(D22, 0)</f>
        <v/>
      </c>
      <c r="F22">
        <f>IF(LOWER(C22)="covered", 10.40, 7.55)</f>
        <v/>
      </c>
      <c r="G22">
        <f>E22*F22</f>
        <v/>
      </c>
      <c r="H22" t="n">
        <v>509.6</v>
      </c>
      <c r="I22">
        <f>G22-H22</f>
        <v/>
      </c>
    </row>
    <row r="23">
      <c r="A23" t="inlineStr">
        <is>
          <t>LP-0123</t>
        </is>
      </c>
      <c r="B23" t="inlineStr">
        <is>
          <t>Ledgport</t>
        </is>
      </c>
      <c r="C23" t="inlineStr">
        <is>
          <t>covered</t>
        </is>
      </c>
      <c r="D23" t="n">
        <v>25.3</v>
      </c>
      <c r="E23">
        <f>ROUNDUP(D23, 0)</f>
        <v/>
      </c>
      <c r="F23">
        <f>IF(LOWER(C23)="covered", 10.40, 7.55)</f>
        <v/>
      </c>
      <c r="G23">
        <f>E23*F23</f>
        <v/>
      </c>
      <c r="H23" t="n">
        <v>332.8</v>
      </c>
      <c r="I23">
        <f>G23-H23</f>
        <v/>
      </c>
    </row>
    <row r="24">
      <c r="A24" t="inlineStr">
        <is>
          <t>LP-0124</t>
        </is>
      </c>
      <c r="B24" t="inlineStr">
        <is>
          <t>Ledgport</t>
        </is>
      </c>
      <c r="C24" t="inlineStr">
        <is>
          <t>covered</t>
        </is>
      </c>
      <c r="D24" t="n">
        <v>38.8</v>
      </c>
      <c r="E24">
        <f>ROUNDUP(D24, 0)</f>
        <v/>
      </c>
      <c r="F24">
        <f>IF(LOWER(C24)="covered", 10.40, 7.55)</f>
        <v/>
      </c>
      <c r="G24">
        <f>E24*F24</f>
        <v/>
      </c>
      <c r="H24" t="n">
        <v>405.6</v>
      </c>
      <c r="I24">
        <f>G24-H24</f>
        <v/>
      </c>
    </row>
    <row r="25">
      <c r="A25" t="inlineStr">
        <is>
          <t>LP-0201</t>
        </is>
      </c>
      <c r="B25" t="inlineStr">
        <is>
          <t>Ledgport</t>
        </is>
      </c>
      <c r="C25" t="inlineStr">
        <is>
          <t>covered</t>
        </is>
      </c>
      <c r="D25" t="n">
        <v>51.3</v>
      </c>
      <c r="E25">
        <f>ROUNDUP(D25, 0)</f>
        <v/>
      </c>
      <c r="F25">
        <f>IF(LOWER(C25)="covered", 10.40, 7.55)</f>
        <v/>
      </c>
      <c r="G25">
        <f>E25*F25</f>
        <v/>
      </c>
      <c r="H25" t="n">
        <v>540.8</v>
      </c>
      <c r="I25">
        <f>G25-H25</f>
        <v/>
      </c>
    </row>
    <row r="26">
      <c r="A26" t="inlineStr">
        <is>
          <t>LP-0202</t>
        </is>
      </c>
      <c r="B26" t="inlineStr">
        <is>
          <t>Ledgport</t>
        </is>
      </c>
      <c r="C26" t="inlineStr">
        <is>
          <t>covered</t>
        </is>
      </c>
      <c r="D26" t="n">
        <v>37.5</v>
      </c>
      <c r="E26">
        <f>ROUNDUP(D26, 0)</f>
        <v/>
      </c>
      <c r="F26">
        <f>IF(LOWER(C26)="covered", 10.40, 7.55)</f>
        <v/>
      </c>
      <c r="G26">
        <f>E26*F26</f>
        <v/>
      </c>
      <c r="H26" t="n">
        <v>395.2</v>
      </c>
      <c r="I26">
        <f>G26-H26</f>
        <v/>
      </c>
    </row>
    <row r="27">
      <c r="A27" t="inlineStr">
        <is>
          <t>LP-0203</t>
        </is>
      </c>
      <c r="B27" t="inlineStr">
        <is>
          <t>Ledgport</t>
        </is>
      </c>
      <c r="C27" t="inlineStr">
        <is>
          <t>covered</t>
        </is>
      </c>
      <c r="D27" t="n">
        <v>28.3</v>
      </c>
      <c r="E27">
        <f>ROUNDUP(D27, 0)</f>
        <v/>
      </c>
      <c r="F27">
        <f>IF(LOWER(C27)="covered", 10.40, 7.55)</f>
        <v/>
      </c>
      <c r="G27">
        <f>E27*F27</f>
        <v/>
      </c>
      <c r="H27" t="n">
        <v>301.6</v>
      </c>
      <c r="I27">
        <f>G27-H27</f>
        <v/>
      </c>
    </row>
    <row r="28">
      <c r="A28" t="inlineStr">
        <is>
          <t>LP-0204</t>
        </is>
      </c>
      <c r="B28" t="inlineStr">
        <is>
          <t>Ledgport</t>
        </is>
      </c>
      <c r="C28" t="inlineStr">
        <is>
          <t>covered</t>
        </is>
      </c>
      <c r="D28" t="n">
        <v>35.6</v>
      </c>
      <c r="E28">
        <f>ROUNDUP(D28, 0)</f>
        <v/>
      </c>
      <c r="F28">
        <f>IF(LOWER(C28)="covered", 10.40, 7.55)</f>
        <v/>
      </c>
      <c r="G28">
        <f>E28*F28</f>
        <v/>
      </c>
      <c r="H28" t="n">
        <v>374.4</v>
      </c>
      <c r="I28">
        <f>G28-H28</f>
        <v/>
      </c>
    </row>
    <row r="29">
      <c r="A29" t="inlineStr">
        <is>
          <t>LP-0205</t>
        </is>
      </c>
      <c r="B29" t="inlineStr">
        <is>
          <t>Ledgport</t>
        </is>
      </c>
      <c r="C29" t="inlineStr">
        <is>
          <t>covered</t>
        </is>
      </c>
      <c r="D29" t="n">
        <v>23</v>
      </c>
      <c r="E29">
        <f>ROUNDUP(D29, 0)</f>
        <v/>
      </c>
      <c r="F29">
        <f>IF(LOWER(C29)="covered", 10.40, 7.55)</f>
        <v/>
      </c>
      <c r="G29">
        <f>E29*F29</f>
        <v/>
      </c>
      <c r="H29" t="n">
        <v>416</v>
      </c>
      <c r="I29">
        <f>G29-H29</f>
        <v/>
      </c>
    </row>
    <row r="30">
      <c r="A30" t="inlineStr">
        <is>
          <t>LP-0206</t>
        </is>
      </c>
      <c r="B30" t="inlineStr">
        <is>
          <t>Ledgport</t>
        </is>
      </c>
      <c r="C30" t="inlineStr">
        <is>
          <t>covered</t>
        </is>
      </c>
      <c r="D30" t="n">
        <v>41.4</v>
      </c>
      <c r="E30">
        <f>ROUNDUP(D30, 0)</f>
        <v/>
      </c>
      <c r="F30">
        <f>IF(LOWER(C30)="covered", 10.40, 7.55)</f>
        <v/>
      </c>
      <c r="G30">
        <f>E30*F30</f>
        <v/>
      </c>
      <c r="H30" t="n">
        <v>436.8</v>
      </c>
      <c r="I30">
        <f>G30-H30</f>
        <v/>
      </c>
    </row>
    <row r="31">
      <c r="A31" t="inlineStr">
        <is>
          <t>LP-0208</t>
        </is>
      </c>
      <c r="B31" t="inlineStr">
        <is>
          <t>Ledgport</t>
        </is>
      </c>
      <c r="C31" t="inlineStr">
        <is>
          <t>covered</t>
        </is>
      </c>
      <c r="D31" t="n">
        <v>35.9</v>
      </c>
      <c r="E31">
        <f>ROUNDUP(D31, 0)</f>
        <v/>
      </c>
      <c r="F31">
        <f>IF(LOWER(C31)="covered", 10.40, 7.55)</f>
        <v/>
      </c>
      <c r="G31">
        <f>E31*F31</f>
        <v/>
      </c>
      <c r="H31" t="n">
        <v>374.4</v>
      </c>
      <c r="I31">
        <f>G31-H31</f>
        <v/>
      </c>
    </row>
    <row r="32">
      <c r="A32" t="inlineStr">
        <is>
          <t>LP-0209</t>
        </is>
      </c>
      <c r="B32" t="inlineStr">
        <is>
          <t>Ledgport</t>
        </is>
      </c>
      <c r="C32" t="inlineStr">
        <is>
          <t>covered</t>
        </is>
      </c>
      <c r="D32" t="n">
        <v>19.8</v>
      </c>
      <c r="E32">
        <f>ROUNDUP(D32, 0)</f>
        <v/>
      </c>
      <c r="F32">
        <f>IF(LOWER(C32)="covered", 10.40, 7.55)</f>
        <v/>
      </c>
      <c r="G32">
        <f>E32*F32</f>
        <v/>
      </c>
      <c r="H32" t="n">
        <v>332.8</v>
      </c>
      <c r="I32">
        <f>G32-H32</f>
        <v/>
      </c>
    </row>
    <row r="33">
      <c r="A33" t="inlineStr">
        <is>
          <t>LP-0210</t>
        </is>
      </c>
      <c r="B33" t="inlineStr">
        <is>
          <t>Ledgport</t>
        </is>
      </c>
      <c r="C33" t="inlineStr">
        <is>
          <t>covered</t>
        </is>
      </c>
      <c r="D33" t="n">
        <v>24.8</v>
      </c>
      <c r="E33">
        <f>ROUNDUP(D33, 0)</f>
        <v/>
      </c>
      <c r="F33">
        <f>IF(LOWER(C33)="covered", 10.40, 7.55)</f>
        <v/>
      </c>
      <c r="G33">
        <f>E33*F33</f>
        <v/>
      </c>
      <c r="H33" t="n">
        <v>416</v>
      </c>
      <c r="I33">
        <f>G33-H33</f>
        <v/>
      </c>
    </row>
    <row r="34">
      <c r="A34" t="inlineStr">
        <is>
          <t>LP-0212</t>
        </is>
      </c>
      <c r="B34" t="inlineStr">
        <is>
          <t>Ledgport</t>
        </is>
      </c>
      <c r="C34" t="inlineStr">
        <is>
          <t>covered</t>
        </is>
      </c>
      <c r="D34" t="n">
        <v>57.4</v>
      </c>
      <c r="E34">
        <f>ROUNDUP(D34, 0)</f>
        <v/>
      </c>
      <c r="F34">
        <f>IF(LOWER(C34)="covered", 10.40, 7.55)</f>
        <v/>
      </c>
      <c r="G34">
        <f>E34*F34</f>
        <v/>
      </c>
      <c r="H34" t="n">
        <v>603.2</v>
      </c>
      <c r="I34">
        <f>G34-H34</f>
        <v/>
      </c>
    </row>
    <row r="35">
      <c r="A35" t="inlineStr">
        <is>
          <t>LP-0213</t>
        </is>
      </c>
      <c r="B35" t="inlineStr">
        <is>
          <t>Ledgport</t>
        </is>
      </c>
      <c r="C35" t="inlineStr">
        <is>
          <t>covered</t>
        </is>
      </c>
      <c r="D35" t="n">
        <v>49.7</v>
      </c>
      <c r="E35">
        <f>ROUNDUP(D35, 0)</f>
        <v/>
      </c>
      <c r="F35">
        <f>IF(LOWER(C35)="covered", 10.40, 7.55)</f>
        <v/>
      </c>
      <c r="G35">
        <f>E35*F35</f>
        <v/>
      </c>
      <c r="H35" t="n">
        <v>520</v>
      </c>
      <c r="I35">
        <f>G35-H35</f>
        <v/>
      </c>
    </row>
    <row r="36">
      <c r="A36" t="inlineStr">
        <is>
          <t>LP-0214</t>
        </is>
      </c>
      <c r="B36" t="inlineStr">
        <is>
          <t>Ledgport</t>
        </is>
      </c>
      <c r="C36" t="inlineStr">
        <is>
          <t>covered</t>
        </is>
      </c>
      <c r="D36" t="n">
        <v>31</v>
      </c>
      <c r="E36">
        <f>ROUNDUP(D36, 0)</f>
        <v/>
      </c>
      <c r="F36">
        <f>IF(LOWER(C36)="covered", 10.40, 7.55)</f>
        <v/>
      </c>
      <c r="G36">
        <f>E36*F36</f>
        <v/>
      </c>
      <c r="H36" t="n">
        <v>322.4</v>
      </c>
      <c r="I36">
        <f>G36-H36</f>
        <v/>
      </c>
    </row>
    <row r="37">
      <c r="A37" t="inlineStr">
        <is>
          <t>LP-0215</t>
        </is>
      </c>
      <c r="B37" t="inlineStr">
        <is>
          <t>Ledgport</t>
        </is>
      </c>
      <c r="C37" t="inlineStr">
        <is>
          <t>covered</t>
        </is>
      </c>
      <c r="D37" t="n">
        <v>26.3</v>
      </c>
      <c r="E37">
        <f>ROUNDUP(D37, 0)</f>
        <v/>
      </c>
      <c r="F37">
        <f>IF(LOWER(C37)="covered", 10.40, 7.55)</f>
        <v/>
      </c>
      <c r="G37">
        <f>E37*F37</f>
        <v/>
      </c>
      <c r="H37" t="n">
        <v>291.2</v>
      </c>
      <c r="I37">
        <f>G37-H37</f>
        <v/>
      </c>
    </row>
    <row r="38">
      <c r="A38" t="inlineStr">
        <is>
          <t>LP-0216</t>
        </is>
      </c>
      <c r="B38" t="inlineStr">
        <is>
          <t>Ledgport</t>
        </is>
      </c>
      <c r="C38" t="inlineStr">
        <is>
          <t>covered</t>
        </is>
      </c>
      <c r="D38" t="n">
        <v>57</v>
      </c>
      <c r="E38">
        <f>ROUNDUP(D38, 0)</f>
        <v/>
      </c>
      <c r="F38">
        <f>IF(LOWER(C38)="covered", 10.40, 7.55)</f>
        <v/>
      </c>
      <c r="G38">
        <f>E38*F38</f>
        <v/>
      </c>
      <c r="H38" t="n">
        <v>592.8</v>
      </c>
      <c r="I38">
        <f>G38-H38</f>
        <v/>
      </c>
    </row>
    <row r="39">
      <c r="A39" t="inlineStr">
        <is>
          <t>LP-0217</t>
        </is>
      </c>
      <c r="B39" t="inlineStr">
        <is>
          <t>Ledgport</t>
        </is>
      </c>
      <c r="C39" t="inlineStr">
        <is>
          <t>covered</t>
        </is>
      </c>
      <c r="D39" t="n">
        <v>58.7</v>
      </c>
      <c r="E39">
        <f>ROUNDUP(D39, 0)</f>
        <v/>
      </c>
      <c r="F39">
        <f>IF(LOWER(C39)="covered", 10.40, 7.55)</f>
        <v/>
      </c>
      <c r="G39">
        <f>E39*F39</f>
        <v/>
      </c>
      <c r="H39" t="n">
        <v>613.6</v>
      </c>
      <c r="I39">
        <f>G39-H39</f>
        <v/>
      </c>
    </row>
    <row r="40">
      <c r="A40" t="inlineStr">
        <is>
          <t>LP-0218</t>
        </is>
      </c>
      <c r="B40" t="inlineStr">
        <is>
          <t>Ledgport</t>
        </is>
      </c>
      <c r="C40" t="inlineStr">
        <is>
          <t>covered</t>
        </is>
      </c>
      <c r="D40" t="n">
        <v>41.6</v>
      </c>
      <c r="E40">
        <f>ROUNDUP(D40, 0)</f>
        <v/>
      </c>
      <c r="F40">
        <f>IF(LOWER(C40)="covered", 10.40, 7.55)</f>
        <v/>
      </c>
      <c r="G40">
        <f>E40*F40</f>
        <v/>
      </c>
      <c r="H40" t="n">
        <v>436.8</v>
      </c>
      <c r="I40">
        <f>G40-H40</f>
        <v/>
      </c>
    </row>
    <row r="41">
      <c r="A41" t="inlineStr">
        <is>
          <t>LP-0219</t>
        </is>
      </c>
      <c r="B41" t="inlineStr">
        <is>
          <t>Ledgport</t>
        </is>
      </c>
      <c r="C41" t="inlineStr">
        <is>
          <t>covered</t>
        </is>
      </c>
      <c r="D41" t="n">
        <v>46.9</v>
      </c>
      <c r="E41">
        <f>ROUNDUP(D41, 0)</f>
        <v/>
      </c>
      <c r="F41">
        <f>IF(LOWER(C41)="covered", 10.40, 7.55)</f>
        <v/>
      </c>
      <c r="G41">
        <f>E41*F41</f>
        <v/>
      </c>
      <c r="H41" t="n">
        <v>488.8</v>
      </c>
      <c r="I41">
        <f>G41-H41</f>
        <v/>
      </c>
    </row>
    <row r="42">
      <c r="A42" t="inlineStr">
        <is>
          <t>LP-0220</t>
        </is>
      </c>
      <c r="B42" t="inlineStr">
        <is>
          <t>Ledgport</t>
        </is>
      </c>
      <c r="C42" t="inlineStr">
        <is>
          <t>covered</t>
        </is>
      </c>
      <c r="D42" t="n">
        <v>45.1</v>
      </c>
      <c r="E42">
        <f>ROUNDUP(D42, 0)</f>
        <v/>
      </c>
      <c r="F42">
        <f>IF(LOWER(C42)="covered", 10.40, 7.55)</f>
        <v/>
      </c>
      <c r="G42">
        <f>E42*F42</f>
        <v/>
      </c>
      <c r="H42" t="n">
        <v>478.4</v>
      </c>
      <c r="I42">
        <f>G42-H42</f>
        <v/>
      </c>
    </row>
    <row r="43">
      <c r="A43" t="inlineStr">
        <is>
          <t>LP-0221</t>
        </is>
      </c>
      <c r="B43" t="inlineStr">
        <is>
          <t>Ledgport</t>
        </is>
      </c>
      <c r="C43" t="inlineStr">
        <is>
          <t>covered</t>
        </is>
      </c>
      <c r="D43" t="n">
        <v>57.8</v>
      </c>
      <c r="E43">
        <f>ROUNDUP(D43, 0)</f>
        <v/>
      </c>
      <c r="F43">
        <f>IF(LOWER(C43)="covered", 10.40, 7.55)</f>
        <v/>
      </c>
      <c r="G43">
        <f>E43*F43</f>
        <v/>
      </c>
      <c r="H43" t="n">
        <v>603.2</v>
      </c>
      <c r="I43">
        <f>G43-H43</f>
        <v/>
      </c>
    </row>
    <row r="44">
      <c r="A44" t="inlineStr">
        <is>
          <t>LP-0222</t>
        </is>
      </c>
      <c r="B44" t="inlineStr">
        <is>
          <t>Ledgport</t>
        </is>
      </c>
      <c r="C44" t="inlineStr">
        <is>
          <t>covered</t>
        </is>
      </c>
      <c r="D44" t="n">
        <v>25.5</v>
      </c>
      <c r="E44">
        <f>ROUNDUP(D44, 0)</f>
        <v/>
      </c>
      <c r="F44">
        <f>IF(LOWER(C44)="covered", 10.40, 7.55)</f>
        <v/>
      </c>
      <c r="G44">
        <f>E44*F44</f>
        <v/>
      </c>
      <c r="H44" t="n">
        <v>374.4</v>
      </c>
      <c r="I44">
        <f>G44-H44</f>
        <v/>
      </c>
    </row>
    <row r="45">
      <c r="A45" t="inlineStr">
        <is>
          <t>LP-0223</t>
        </is>
      </c>
      <c r="B45" t="inlineStr">
        <is>
          <t>Ledgport</t>
        </is>
      </c>
      <c r="C45" t="inlineStr">
        <is>
          <t>covered</t>
        </is>
      </c>
      <c r="D45" t="n">
        <v>49.8</v>
      </c>
      <c r="E45">
        <f>ROUNDUP(D45, 0)</f>
        <v/>
      </c>
      <c r="F45">
        <f>IF(LOWER(C45)="covered", 10.40, 7.55)</f>
        <v/>
      </c>
      <c r="G45">
        <f>E45*F45</f>
        <v/>
      </c>
      <c r="H45" t="n">
        <v>520</v>
      </c>
      <c r="I45">
        <f>G45-H45</f>
        <v/>
      </c>
    </row>
    <row r="46">
      <c r="A46" t="inlineStr">
        <is>
          <t>LP-0224</t>
        </is>
      </c>
      <c r="B46" t="inlineStr">
        <is>
          <t>Ledgport</t>
        </is>
      </c>
      <c r="C46" t="inlineStr">
        <is>
          <t>covered</t>
        </is>
      </c>
      <c r="D46" t="n">
        <v>26.7</v>
      </c>
      <c r="E46">
        <f>ROUNDUP(D46, 0)</f>
        <v/>
      </c>
      <c r="F46">
        <f>IF(LOWER(C46)="covered", 10.40, 7.55)</f>
        <v/>
      </c>
      <c r="G46">
        <f>E46*F46</f>
        <v/>
      </c>
      <c r="H46" t="n">
        <v>416</v>
      </c>
      <c r="I46">
        <f>G46-H46</f>
        <v/>
      </c>
    </row>
    <row r="47">
      <c r="A47" t="inlineStr">
        <is>
          <t>LP-0301</t>
        </is>
      </c>
      <c r="B47" t="inlineStr">
        <is>
          <t>Ledgport</t>
        </is>
      </c>
      <c r="C47" t="inlineStr">
        <is>
          <t>covered</t>
        </is>
      </c>
      <c r="D47" t="n">
        <v>18.4</v>
      </c>
      <c r="E47">
        <f>ROUNDUP(D47, 0)</f>
        <v/>
      </c>
      <c r="F47">
        <f>IF(LOWER(C47)="covered", 10.40, 7.55)</f>
        <v/>
      </c>
      <c r="G47">
        <f>E47*F47</f>
        <v/>
      </c>
      <c r="H47" t="n">
        <v>291.2</v>
      </c>
      <c r="I47">
        <f>G47-H47</f>
        <v/>
      </c>
    </row>
    <row r="48">
      <c r="A48" t="inlineStr">
        <is>
          <t>LP-0302</t>
        </is>
      </c>
      <c r="B48" t="inlineStr">
        <is>
          <t>Ledgport</t>
        </is>
      </c>
      <c r="C48" t="inlineStr">
        <is>
          <t>covered</t>
        </is>
      </c>
      <c r="D48" t="n">
        <v>37.3</v>
      </c>
      <c r="E48">
        <f>ROUNDUP(D48, 0)</f>
        <v/>
      </c>
      <c r="F48">
        <f>IF(LOWER(C48)="covered", 10.40, 7.55)</f>
        <v/>
      </c>
      <c r="G48">
        <f>E48*F48</f>
        <v/>
      </c>
      <c r="H48" t="n">
        <v>395.2</v>
      </c>
      <c r="I48">
        <f>G48-H48</f>
        <v/>
      </c>
    </row>
    <row r="49">
      <c r="A49" t="inlineStr">
        <is>
          <t>LP-0303</t>
        </is>
      </c>
      <c r="B49" t="inlineStr">
        <is>
          <t>Ledgport</t>
        </is>
      </c>
      <c r="C49" t="inlineStr">
        <is>
          <t>covered</t>
        </is>
      </c>
      <c r="D49" t="n">
        <v>54</v>
      </c>
      <c r="E49">
        <f>ROUNDUP(D49, 0)</f>
        <v/>
      </c>
      <c r="F49">
        <f>IF(LOWER(C49)="covered", 10.40, 7.55)</f>
        <v/>
      </c>
      <c r="G49">
        <f>E49*F49</f>
        <v/>
      </c>
      <c r="H49" t="n">
        <v>561.6</v>
      </c>
      <c r="I49">
        <f>G49-H49</f>
        <v/>
      </c>
    </row>
    <row r="50">
      <c r="A50" t="inlineStr">
        <is>
          <t>LP-0305</t>
        </is>
      </c>
      <c r="B50" t="inlineStr">
        <is>
          <t>Ledgport</t>
        </is>
      </c>
      <c r="C50" t="inlineStr">
        <is>
          <t>covered</t>
        </is>
      </c>
      <c r="D50" t="n">
        <v>19.4</v>
      </c>
      <c r="E50">
        <f>ROUNDUP(D50, 0)</f>
        <v/>
      </c>
      <c r="F50">
        <f>IF(LOWER(C50)="covered", 10.40, 7.55)</f>
        <v/>
      </c>
      <c r="G50">
        <f>E50*F50</f>
        <v/>
      </c>
      <c r="H50" t="n">
        <v>332.8</v>
      </c>
      <c r="I50">
        <f>G50-H50</f>
        <v/>
      </c>
    </row>
    <row r="51">
      <c r="A51" t="inlineStr">
        <is>
          <t>LP-0306</t>
        </is>
      </c>
      <c r="B51" t="inlineStr">
        <is>
          <t>Ledgport</t>
        </is>
      </c>
      <c r="C51" t="inlineStr">
        <is>
          <t>covered</t>
        </is>
      </c>
      <c r="D51" t="n">
        <v>54.1</v>
      </c>
      <c r="E51">
        <f>ROUNDUP(D51, 0)</f>
        <v/>
      </c>
      <c r="F51">
        <f>IF(LOWER(C51)="covered", 10.40, 7.55)</f>
        <v/>
      </c>
      <c r="G51">
        <f>E51*F51</f>
        <v/>
      </c>
      <c r="H51" t="n">
        <v>572</v>
      </c>
      <c r="I51">
        <f>G51-H51</f>
        <v/>
      </c>
    </row>
    <row r="52">
      <c r="A52" t="inlineStr">
        <is>
          <t>LP-0307</t>
        </is>
      </c>
      <c r="B52" t="inlineStr">
        <is>
          <t>Ledgport</t>
        </is>
      </c>
      <c r="C52" t="inlineStr">
        <is>
          <t>covered</t>
        </is>
      </c>
      <c r="D52" t="n">
        <v>60.7</v>
      </c>
      <c r="E52">
        <f>ROUNDUP(D52, 0)</f>
        <v/>
      </c>
      <c r="F52">
        <f>IF(LOWER(C52)="covered", 10.40, 7.55)</f>
        <v/>
      </c>
      <c r="G52">
        <f>E52*F52</f>
        <v/>
      </c>
      <c r="H52" t="n">
        <v>634.4</v>
      </c>
      <c r="I52">
        <f>G52-H52</f>
        <v/>
      </c>
    </row>
    <row r="53">
      <c r="A53" t="inlineStr">
        <is>
          <t>LP-0309</t>
        </is>
      </c>
      <c r="B53" t="inlineStr">
        <is>
          <t>Ledgport</t>
        </is>
      </c>
      <c r="C53" t="inlineStr">
        <is>
          <t>covered</t>
        </is>
      </c>
      <c r="D53" t="n">
        <v>42.3</v>
      </c>
      <c r="E53">
        <f>ROUNDUP(D53, 0)</f>
        <v/>
      </c>
      <c r="F53">
        <f>IF(LOWER(C53)="covered", 10.40, 7.55)</f>
        <v/>
      </c>
      <c r="G53">
        <f>E53*F53</f>
        <v/>
      </c>
      <c r="H53" t="n">
        <v>447.2</v>
      </c>
      <c r="I53">
        <f>G53-H53</f>
        <v/>
      </c>
    </row>
    <row r="54">
      <c r="A54" t="inlineStr">
        <is>
          <t>LP-0311</t>
        </is>
      </c>
      <c r="B54" t="inlineStr">
        <is>
          <t>Ledgport</t>
        </is>
      </c>
      <c r="C54" t="inlineStr">
        <is>
          <t>covered</t>
        </is>
      </c>
      <c r="D54" t="n">
        <v>23.9</v>
      </c>
      <c r="E54">
        <f>ROUNDUP(D54, 0)</f>
        <v/>
      </c>
      <c r="F54">
        <f>IF(LOWER(C54)="covered", 10.40, 7.55)</f>
        <v/>
      </c>
      <c r="G54">
        <f>E54*F54</f>
        <v/>
      </c>
      <c r="H54" t="n">
        <v>249.6</v>
      </c>
      <c r="I54">
        <f>G54-H54</f>
        <v/>
      </c>
    </row>
    <row r="55">
      <c r="A55" t="inlineStr">
        <is>
          <t>LP-0312</t>
        </is>
      </c>
      <c r="B55" t="inlineStr">
        <is>
          <t>Ledgport</t>
        </is>
      </c>
      <c r="C55" t="inlineStr">
        <is>
          <t>covered</t>
        </is>
      </c>
      <c r="D55" t="n">
        <v>31.1</v>
      </c>
      <c r="E55">
        <f>ROUNDUP(D55, 0)</f>
        <v/>
      </c>
      <c r="F55">
        <f>IF(LOWER(C55)="covered", 10.40, 7.55)</f>
        <v/>
      </c>
      <c r="G55">
        <f>E55*F55</f>
        <v/>
      </c>
      <c r="H55" t="n">
        <v>332.8</v>
      </c>
      <c r="I55">
        <f>G55-H55</f>
        <v/>
      </c>
    </row>
    <row r="56">
      <c r="A56" t="inlineStr">
        <is>
          <t>LP-0313</t>
        </is>
      </c>
      <c r="B56" t="inlineStr">
        <is>
          <t>Ledgport</t>
        </is>
      </c>
      <c r="C56" t="inlineStr">
        <is>
          <t>covered</t>
        </is>
      </c>
      <c r="D56" t="n">
        <v>24.8</v>
      </c>
      <c r="E56">
        <f>ROUNDUP(D56, 0)</f>
        <v/>
      </c>
      <c r="F56">
        <f>IF(LOWER(C56)="covered", 10.40, 7.55)</f>
        <v/>
      </c>
      <c r="G56">
        <f>E56*F56</f>
        <v/>
      </c>
      <c r="H56" t="n">
        <v>332.8</v>
      </c>
      <c r="I56">
        <f>G56-H56</f>
        <v/>
      </c>
    </row>
    <row r="57">
      <c r="A57" t="inlineStr">
        <is>
          <t>LP-0314</t>
        </is>
      </c>
      <c r="B57" t="inlineStr">
        <is>
          <t>Ledgport</t>
        </is>
      </c>
      <c r="C57" t="inlineStr">
        <is>
          <t>covered</t>
        </is>
      </c>
      <c r="D57" t="n">
        <v>26.3</v>
      </c>
      <c r="E57">
        <f>ROUNDUP(D57, 0)</f>
        <v/>
      </c>
      <c r="F57">
        <f>IF(LOWER(C57)="covered", 10.40, 7.55)</f>
        <v/>
      </c>
      <c r="G57">
        <f>E57*F57</f>
        <v/>
      </c>
      <c r="H57" t="n">
        <v>332.8</v>
      </c>
      <c r="I57">
        <f>G57-H57</f>
        <v/>
      </c>
    </row>
    <row r="58">
      <c r="A58" t="inlineStr">
        <is>
          <t>LP-0315</t>
        </is>
      </c>
      <c r="B58" t="inlineStr">
        <is>
          <t>Ledgport</t>
        </is>
      </c>
      <c r="C58" t="inlineStr">
        <is>
          <t>covered</t>
        </is>
      </c>
      <c r="D58" t="n">
        <v>31.6</v>
      </c>
      <c r="E58">
        <f>ROUNDUP(D58, 0)</f>
        <v/>
      </c>
      <c r="F58">
        <f>IF(LOWER(C58)="covered", 10.40, 7.55)</f>
        <v/>
      </c>
      <c r="G58">
        <f>E58*F58</f>
        <v/>
      </c>
      <c r="H58" t="n">
        <v>332.8</v>
      </c>
      <c r="I58">
        <f>G58-H58</f>
        <v/>
      </c>
    </row>
    <row r="59">
      <c r="A59" t="inlineStr">
        <is>
          <t>LP-0316</t>
        </is>
      </c>
      <c r="B59" t="inlineStr">
        <is>
          <t>Ledgport</t>
        </is>
      </c>
      <c r="C59" t="inlineStr">
        <is>
          <t>covered</t>
        </is>
      </c>
      <c r="D59" t="n">
        <v>53.5</v>
      </c>
      <c r="E59">
        <f>ROUNDUP(D59, 0)</f>
        <v/>
      </c>
      <c r="F59">
        <f>IF(LOWER(C59)="covered", 10.40, 7.55)</f>
        <v/>
      </c>
      <c r="G59">
        <f>E59*F59</f>
        <v/>
      </c>
      <c r="H59" t="n">
        <v>561.6</v>
      </c>
      <c r="I59">
        <f>G59-H59</f>
        <v/>
      </c>
    </row>
    <row r="60">
      <c r="A60" t="inlineStr">
        <is>
          <t>LP-0317</t>
        </is>
      </c>
      <c r="B60" t="inlineStr">
        <is>
          <t>Ledgport</t>
        </is>
      </c>
      <c r="C60" t="inlineStr">
        <is>
          <t>covered</t>
        </is>
      </c>
      <c r="D60" t="n">
        <v>22.7</v>
      </c>
      <c r="E60">
        <f>ROUNDUP(D60, 0)</f>
        <v/>
      </c>
      <c r="F60">
        <f>IF(LOWER(C60)="covered", 10.40, 7.55)</f>
        <v/>
      </c>
      <c r="G60">
        <f>E60*F60</f>
        <v/>
      </c>
      <c r="H60" t="n">
        <v>416</v>
      </c>
      <c r="I60">
        <f>G60-H60</f>
        <v/>
      </c>
    </row>
    <row r="61">
      <c r="A61" t="inlineStr">
        <is>
          <t>LP-0318</t>
        </is>
      </c>
      <c r="B61" t="inlineStr">
        <is>
          <t>Ledgport</t>
        </is>
      </c>
      <c r="C61" t="inlineStr">
        <is>
          <t>covered</t>
        </is>
      </c>
      <c r="D61" t="n">
        <v>34.5</v>
      </c>
      <c r="E61">
        <f>ROUNDUP(D61, 0)</f>
        <v/>
      </c>
      <c r="F61">
        <f>IF(LOWER(C61)="covered", 10.40, 7.55)</f>
        <v/>
      </c>
      <c r="G61">
        <f>E61*F61</f>
        <v/>
      </c>
      <c r="H61" t="n">
        <v>364</v>
      </c>
      <c r="I61">
        <f>G61-H61</f>
        <v/>
      </c>
    </row>
    <row r="62">
      <c r="A62" t="inlineStr">
        <is>
          <t>LP-0320</t>
        </is>
      </c>
      <c r="B62" t="inlineStr">
        <is>
          <t>Ledgport</t>
        </is>
      </c>
      <c r="C62" t="inlineStr">
        <is>
          <t>covered</t>
        </is>
      </c>
      <c r="D62" t="n">
        <v>53.4</v>
      </c>
      <c r="E62">
        <f>ROUNDUP(D62, 0)</f>
        <v/>
      </c>
      <c r="F62">
        <f>IF(LOWER(C62)="covered", 10.40, 7.55)</f>
        <v/>
      </c>
      <c r="G62">
        <f>E62*F62</f>
        <v/>
      </c>
      <c r="H62" t="n">
        <v>561.6</v>
      </c>
      <c r="I62">
        <f>G62-H62</f>
        <v/>
      </c>
    </row>
    <row r="63">
      <c r="A63" t="inlineStr">
        <is>
          <t>LP-0321</t>
        </is>
      </c>
      <c r="B63" t="inlineStr">
        <is>
          <t>Ledgport</t>
        </is>
      </c>
      <c r="C63" t="inlineStr">
        <is>
          <t>covered</t>
        </is>
      </c>
      <c r="D63" t="n">
        <v>34.2</v>
      </c>
      <c r="E63">
        <f>ROUNDUP(D63, 0)</f>
        <v/>
      </c>
      <c r="F63">
        <f>IF(LOWER(C63)="covered", 10.40, 7.55)</f>
        <v/>
      </c>
      <c r="G63">
        <f>E63*F63</f>
        <v/>
      </c>
      <c r="H63" t="n">
        <v>364</v>
      </c>
      <c r="I63">
        <f>G63-H63</f>
        <v/>
      </c>
    </row>
    <row r="64">
      <c r="A64" t="inlineStr">
        <is>
          <t>LP-0322</t>
        </is>
      </c>
      <c r="B64" t="inlineStr">
        <is>
          <t>Ledgport</t>
        </is>
      </c>
      <c r="C64" t="inlineStr">
        <is>
          <t>covered</t>
        </is>
      </c>
      <c r="D64" t="n">
        <v>57.4</v>
      </c>
      <c r="E64">
        <f>ROUNDUP(D64, 0)</f>
        <v/>
      </c>
      <c r="F64">
        <f>IF(LOWER(C64)="covered", 10.40, 7.55)</f>
        <v/>
      </c>
      <c r="G64">
        <f>E64*F64</f>
        <v/>
      </c>
      <c r="H64" t="n">
        <v>603.2</v>
      </c>
      <c r="I64">
        <f>G64-H64</f>
        <v/>
      </c>
    </row>
    <row r="65">
      <c r="A65" t="inlineStr">
        <is>
          <t>LP-0323</t>
        </is>
      </c>
      <c r="B65" t="inlineStr">
        <is>
          <t>Ledgport</t>
        </is>
      </c>
      <c r="C65" t="inlineStr">
        <is>
          <t>covered</t>
        </is>
      </c>
      <c r="D65" t="n">
        <v>48.5</v>
      </c>
      <c r="E65">
        <f>ROUNDUP(D65, 0)</f>
        <v/>
      </c>
      <c r="F65">
        <f>IF(LOWER(C65)="covered", 10.40, 7.55)</f>
        <v/>
      </c>
      <c r="G65">
        <f>E65*F65</f>
        <v/>
      </c>
      <c r="H65" t="n">
        <v>509.6</v>
      </c>
      <c r="I65">
        <f>G65-H65</f>
        <v/>
      </c>
    </row>
    <row r="66">
      <c r="A66" t="inlineStr">
        <is>
          <t>LP-0324</t>
        </is>
      </c>
      <c r="B66" t="inlineStr">
        <is>
          <t>Ledgport</t>
        </is>
      </c>
      <c r="C66" t="inlineStr">
        <is>
          <t>covered</t>
        </is>
      </c>
      <c r="D66" t="n">
        <v>44.5</v>
      </c>
      <c r="E66">
        <f>ROUNDUP(D66, 0)</f>
        <v/>
      </c>
      <c r="F66">
        <f>IF(LOWER(C66)="covered", 10.40, 7.55)</f>
        <v/>
      </c>
      <c r="G66">
        <f>E66*F66</f>
        <v/>
      </c>
      <c r="H66" t="n">
        <v>468</v>
      </c>
      <c r="I66">
        <f>G66-H66</f>
        <v/>
      </c>
    </row>
    <row r="67">
      <c r="A67" t="inlineStr">
        <is>
          <t>LP-0402</t>
        </is>
      </c>
      <c r="B67" t="inlineStr">
        <is>
          <t>Ledgport</t>
        </is>
      </c>
      <c r="C67" t="inlineStr">
        <is>
          <t>covered</t>
        </is>
      </c>
      <c r="D67" t="n">
        <v>36.5</v>
      </c>
      <c r="E67">
        <f>ROUNDUP(D67, 0)</f>
        <v/>
      </c>
      <c r="F67">
        <f>IF(LOWER(C67)="covered", 10.40, 7.55)</f>
        <v/>
      </c>
      <c r="G67">
        <f>E67*F67</f>
        <v/>
      </c>
      <c r="H67" t="n">
        <v>384.8</v>
      </c>
      <c r="I67">
        <f>G67-H67</f>
        <v/>
      </c>
    </row>
    <row r="68">
      <c r="A68" t="inlineStr">
        <is>
          <t>LP-0403</t>
        </is>
      </c>
      <c r="B68" t="inlineStr">
        <is>
          <t>Ledgport</t>
        </is>
      </c>
      <c r="C68" t="inlineStr">
        <is>
          <t>covered</t>
        </is>
      </c>
      <c r="D68" t="n">
        <v>46.9</v>
      </c>
      <c r="E68">
        <f>ROUNDUP(D68, 0)</f>
        <v/>
      </c>
      <c r="F68">
        <f>IF(LOWER(C68)="covered", 10.40, 7.55)</f>
        <v/>
      </c>
      <c r="G68">
        <f>E68*F68</f>
        <v/>
      </c>
      <c r="H68" t="n">
        <v>488.8</v>
      </c>
      <c r="I68">
        <f>G68-H68</f>
        <v/>
      </c>
    </row>
    <row r="69">
      <c r="A69" t="inlineStr">
        <is>
          <t>LP-0404</t>
        </is>
      </c>
      <c r="B69" t="inlineStr">
        <is>
          <t>Ledgport</t>
        </is>
      </c>
      <c r="C69" t="inlineStr">
        <is>
          <t>covered</t>
        </is>
      </c>
      <c r="D69" t="n">
        <v>27.2</v>
      </c>
      <c r="E69">
        <f>ROUNDUP(D69, 0)</f>
        <v/>
      </c>
      <c r="F69">
        <f>IF(LOWER(C69)="covered", 10.40, 7.55)</f>
        <v/>
      </c>
      <c r="G69">
        <f>E69*F69</f>
        <v/>
      </c>
      <c r="H69" t="n">
        <v>291.2</v>
      </c>
      <c r="I69">
        <f>G69-H69</f>
        <v/>
      </c>
    </row>
    <row r="70">
      <c r="A70" t="inlineStr">
        <is>
          <t>LP-0405</t>
        </is>
      </c>
      <c r="B70" t="inlineStr">
        <is>
          <t>Ledgport</t>
        </is>
      </c>
      <c r="C70" t="inlineStr">
        <is>
          <t>covered</t>
        </is>
      </c>
      <c r="D70" t="n">
        <v>34.5</v>
      </c>
      <c r="E70">
        <f>ROUNDUP(D70, 0)</f>
        <v/>
      </c>
      <c r="F70">
        <f>IF(LOWER(C70)="covered", 10.40, 7.55)</f>
        <v/>
      </c>
      <c r="G70">
        <f>E70*F70</f>
        <v/>
      </c>
      <c r="H70" t="n">
        <v>364</v>
      </c>
      <c r="I70">
        <f>G70-H70</f>
        <v/>
      </c>
    </row>
    <row r="71">
      <c r="A71" t="inlineStr">
        <is>
          <t>LP-0406</t>
        </is>
      </c>
      <c r="B71" t="inlineStr">
        <is>
          <t>Ledgport</t>
        </is>
      </c>
      <c r="C71" t="inlineStr">
        <is>
          <t>covered</t>
        </is>
      </c>
      <c r="D71" t="n">
        <v>59.6</v>
      </c>
      <c r="E71">
        <f>ROUNDUP(D71, 0)</f>
        <v/>
      </c>
      <c r="F71">
        <f>IF(LOWER(C71)="covered", 10.40, 7.55)</f>
        <v/>
      </c>
      <c r="G71">
        <f>E71*F71</f>
        <v/>
      </c>
      <c r="H71" t="n">
        <v>624</v>
      </c>
      <c r="I71">
        <f>G71-H71</f>
        <v/>
      </c>
    </row>
    <row r="72">
      <c r="A72" t="inlineStr">
        <is>
          <t>LP-0407</t>
        </is>
      </c>
      <c r="B72" t="inlineStr">
        <is>
          <t>Ledgport</t>
        </is>
      </c>
      <c r="C72" t="inlineStr">
        <is>
          <t>covered</t>
        </is>
      </c>
      <c r="D72" t="n">
        <v>38.4</v>
      </c>
      <c r="E72">
        <f>ROUNDUP(D72, 0)</f>
        <v/>
      </c>
      <c r="F72">
        <f>IF(LOWER(C72)="covered", 10.40, 7.55)</f>
        <v/>
      </c>
      <c r="G72">
        <f>E72*F72</f>
        <v/>
      </c>
      <c r="H72" t="n">
        <v>405.6</v>
      </c>
      <c r="I72">
        <f>G72-H72</f>
        <v/>
      </c>
    </row>
    <row r="73">
      <c r="A73" t="inlineStr">
        <is>
          <t>LP-0408</t>
        </is>
      </c>
      <c r="B73" t="inlineStr">
        <is>
          <t>Ledgport</t>
        </is>
      </c>
      <c r="C73" t="inlineStr">
        <is>
          <t>covered</t>
        </is>
      </c>
      <c r="D73" t="n">
        <v>23.9</v>
      </c>
      <c r="E73">
        <f>ROUNDUP(D73, 0)</f>
        <v/>
      </c>
      <c r="F73">
        <f>IF(LOWER(C73)="covered", 10.40, 7.55)</f>
        <v/>
      </c>
      <c r="G73">
        <f>E73*F73</f>
        <v/>
      </c>
      <c r="H73" t="n">
        <v>416</v>
      </c>
      <c r="I73">
        <f>G73-H73</f>
        <v/>
      </c>
    </row>
    <row r="74">
      <c r="A74" t="inlineStr">
        <is>
          <t>LP-0409</t>
        </is>
      </c>
      <c r="B74" t="inlineStr">
        <is>
          <t>Ledgport</t>
        </is>
      </c>
      <c r="C74" t="inlineStr">
        <is>
          <t>covered</t>
        </is>
      </c>
      <c r="D74" t="n">
        <v>48.1</v>
      </c>
      <c r="E74">
        <f>ROUNDUP(D74, 0)</f>
        <v/>
      </c>
      <c r="F74">
        <f>IF(LOWER(C74)="covered", 10.40, 7.55)</f>
        <v/>
      </c>
      <c r="G74">
        <f>E74*F74</f>
        <v/>
      </c>
      <c r="H74" t="n">
        <v>509.6</v>
      </c>
      <c r="I74">
        <f>G74-H74</f>
        <v/>
      </c>
    </row>
    <row r="75">
      <c r="A75" t="inlineStr">
        <is>
          <t>LP-0410</t>
        </is>
      </c>
      <c r="B75" t="inlineStr">
        <is>
          <t>Ledgport</t>
        </is>
      </c>
      <c r="C75" t="inlineStr">
        <is>
          <t>covered</t>
        </is>
      </c>
      <c r="D75" t="n">
        <v>39.7</v>
      </c>
      <c r="E75">
        <f>ROUNDUP(D75, 0)</f>
        <v/>
      </c>
      <c r="F75">
        <f>IF(LOWER(C75)="covered", 10.40, 7.55)</f>
        <v/>
      </c>
      <c r="G75">
        <f>E75*F75</f>
        <v/>
      </c>
      <c r="H75" t="n">
        <v>416</v>
      </c>
      <c r="I75">
        <f>G75-H75</f>
        <v/>
      </c>
    </row>
    <row r="76">
      <c r="A76" t="inlineStr">
        <is>
          <t>LP-0411</t>
        </is>
      </c>
      <c r="B76" t="inlineStr">
        <is>
          <t>Ledgport</t>
        </is>
      </c>
      <c r="C76" t="inlineStr">
        <is>
          <t>covered</t>
        </is>
      </c>
      <c r="D76" t="n">
        <v>24.6</v>
      </c>
      <c r="E76">
        <f>ROUNDUP(D76, 0)</f>
        <v/>
      </c>
      <c r="F76">
        <f>IF(LOWER(C76)="covered", 10.40, 7.55)</f>
        <v/>
      </c>
      <c r="G76">
        <f>E76*F76</f>
        <v/>
      </c>
      <c r="H76" t="n">
        <v>260</v>
      </c>
      <c r="I76">
        <f>G76-H76</f>
        <v/>
      </c>
    </row>
    <row r="77">
      <c r="A77" t="inlineStr">
        <is>
          <t>LP-0412</t>
        </is>
      </c>
      <c r="B77" t="inlineStr">
        <is>
          <t>Ledgport</t>
        </is>
      </c>
      <c r="C77" t="inlineStr">
        <is>
          <t>covered</t>
        </is>
      </c>
      <c r="D77" t="n">
        <v>41.2</v>
      </c>
      <c r="E77">
        <f>ROUNDUP(D77, 0)</f>
        <v/>
      </c>
      <c r="F77">
        <f>IF(LOWER(C77)="covered", 10.40, 7.55)</f>
        <v/>
      </c>
      <c r="G77">
        <f>E77*F77</f>
        <v/>
      </c>
      <c r="H77" t="n">
        <v>436.8</v>
      </c>
      <c r="I77">
        <f>G77-H77</f>
        <v/>
      </c>
    </row>
    <row r="78">
      <c r="A78" t="inlineStr">
        <is>
          <t>LP-0413</t>
        </is>
      </c>
      <c r="B78" t="inlineStr">
        <is>
          <t>Ledgport</t>
        </is>
      </c>
      <c r="C78" t="inlineStr">
        <is>
          <t>covered</t>
        </is>
      </c>
      <c r="D78" t="n">
        <v>23.7</v>
      </c>
      <c r="E78">
        <f>ROUNDUP(D78, 0)</f>
        <v/>
      </c>
      <c r="F78">
        <f>IF(LOWER(C78)="covered", 10.40, 7.55)</f>
        <v/>
      </c>
      <c r="G78">
        <f>E78*F78</f>
        <v/>
      </c>
      <c r="H78" t="n">
        <v>291.2</v>
      </c>
      <c r="I78">
        <f>G78-H78</f>
        <v/>
      </c>
    </row>
    <row r="79">
      <c r="A79" t="inlineStr">
        <is>
          <t>LP-0415</t>
        </is>
      </c>
      <c r="B79" t="inlineStr">
        <is>
          <t>Ledgport</t>
        </is>
      </c>
      <c r="C79" t="inlineStr">
        <is>
          <t>covered</t>
        </is>
      </c>
      <c r="D79" t="n">
        <v>35.9</v>
      </c>
      <c r="E79">
        <f>ROUNDUP(D79, 0)</f>
        <v/>
      </c>
      <c r="F79">
        <f>IF(LOWER(C79)="covered", 10.40, 7.55)</f>
        <v/>
      </c>
      <c r="G79">
        <f>E79*F79</f>
        <v/>
      </c>
      <c r="H79" t="n">
        <v>374.4</v>
      </c>
      <c r="I79">
        <f>G79-H79</f>
        <v/>
      </c>
    </row>
    <row r="80">
      <c r="A80" t="inlineStr">
        <is>
          <t>LP-0416</t>
        </is>
      </c>
      <c r="B80" t="inlineStr">
        <is>
          <t>Ledgport</t>
        </is>
      </c>
      <c r="C80" t="inlineStr">
        <is>
          <t>covered</t>
        </is>
      </c>
      <c r="D80" t="n">
        <v>47.8</v>
      </c>
      <c r="E80">
        <f>ROUNDUP(D80, 0)</f>
        <v/>
      </c>
      <c r="F80">
        <f>IF(LOWER(C80)="covered", 10.40, 7.55)</f>
        <v/>
      </c>
      <c r="G80">
        <f>E80*F80</f>
        <v/>
      </c>
      <c r="H80" t="n">
        <v>499.2</v>
      </c>
      <c r="I80">
        <f>G80-H80</f>
        <v/>
      </c>
    </row>
    <row r="81">
      <c r="A81" t="inlineStr">
        <is>
          <t>LP-0417</t>
        </is>
      </c>
      <c r="B81" t="inlineStr">
        <is>
          <t>Ledgport</t>
        </is>
      </c>
      <c r="C81" t="inlineStr">
        <is>
          <t>covered</t>
        </is>
      </c>
      <c r="D81" t="n">
        <v>60.9</v>
      </c>
      <c r="E81">
        <f>ROUNDUP(D81, 0)</f>
        <v/>
      </c>
      <c r="F81">
        <f>IF(LOWER(C81)="covered", 10.40, 7.55)</f>
        <v/>
      </c>
      <c r="G81">
        <f>E81*F81</f>
        <v/>
      </c>
      <c r="H81" t="n">
        <v>634.4</v>
      </c>
      <c r="I81">
        <f>G81-H81</f>
        <v/>
      </c>
    </row>
    <row r="82">
      <c r="A82" t="inlineStr">
        <is>
          <t>LP-0418</t>
        </is>
      </c>
      <c r="B82" t="inlineStr">
        <is>
          <t>Ledgport</t>
        </is>
      </c>
      <c r="C82" t="inlineStr">
        <is>
          <t>covered</t>
        </is>
      </c>
      <c r="D82" t="n">
        <v>43.7</v>
      </c>
      <c r="E82">
        <f>ROUNDUP(D82, 0)</f>
        <v/>
      </c>
      <c r="F82">
        <f>IF(LOWER(C82)="covered", 10.40, 7.55)</f>
        <v/>
      </c>
      <c r="G82">
        <f>E82*F82</f>
        <v/>
      </c>
      <c r="H82" t="n">
        <v>457.6</v>
      </c>
      <c r="I82">
        <f>G82-H82</f>
        <v/>
      </c>
    </row>
    <row r="83">
      <c r="A83" t="inlineStr">
        <is>
          <t>LP-0419</t>
        </is>
      </c>
      <c r="B83" t="inlineStr">
        <is>
          <t>Ledgport</t>
        </is>
      </c>
      <c r="C83" t="inlineStr">
        <is>
          <t>covered</t>
        </is>
      </c>
      <c r="D83" t="n">
        <v>44.4</v>
      </c>
      <c r="E83">
        <f>ROUNDUP(D83, 0)</f>
        <v/>
      </c>
      <c r="F83">
        <f>IF(LOWER(C83)="covered", 10.40, 7.55)</f>
        <v/>
      </c>
      <c r="G83">
        <f>E83*F83</f>
        <v/>
      </c>
      <c r="H83" t="n">
        <v>468</v>
      </c>
      <c r="I83">
        <f>G83-H83</f>
        <v/>
      </c>
    </row>
    <row r="84">
      <c r="A84" t="inlineStr">
        <is>
          <t>LP-0420</t>
        </is>
      </c>
      <c r="B84" t="inlineStr">
        <is>
          <t>Ledgport</t>
        </is>
      </c>
      <c r="C84" t="inlineStr">
        <is>
          <t>covered</t>
        </is>
      </c>
      <c r="D84" t="n">
        <v>28.9</v>
      </c>
      <c r="E84">
        <f>ROUNDUP(D84, 0)</f>
        <v/>
      </c>
      <c r="F84">
        <f>IF(LOWER(C84)="covered", 10.40, 7.55)</f>
        <v/>
      </c>
      <c r="G84">
        <f>E84*F84</f>
        <v/>
      </c>
      <c r="H84" t="n">
        <v>374.4</v>
      </c>
      <c r="I84">
        <f>G84-H84</f>
        <v/>
      </c>
    </row>
    <row r="85">
      <c r="A85" t="inlineStr">
        <is>
          <t>LP-0421</t>
        </is>
      </c>
      <c r="B85" t="inlineStr">
        <is>
          <t>Ledgport</t>
        </is>
      </c>
      <c r="C85" t="inlineStr">
        <is>
          <t>covered</t>
        </is>
      </c>
      <c r="D85" t="n">
        <v>25.1</v>
      </c>
      <c r="E85">
        <f>ROUNDUP(D85, 0)</f>
        <v/>
      </c>
      <c r="F85">
        <f>IF(LOWER(C85)="covered", 10.40, 7.55)</f>
        <v/>
      </c>
      <c r="G85">
        <f>E85*F85</f>
        <v/>
      </c>
      <c r="H85" t="n">
        <v>291.2</v>
      </c>
      <c r="I85">
        <f>G85-H85</f>
        <v/>
      </c>
    </row>
    <row r="86">
      <c r="A86" t="inlineStr">
        <is>
          <t>LP-0422</t>
        </is>
      </c>
      <c r="B86" t="inlineStr">
        <is>
          <t>Ledgport</t>
        </is>
      </c>
      <c r="C86" t="inlineStr">
        <is>
          <t>covered</t>
        </is>
      </c>
      <c r="D86" t="n">
        <v>33.5</v>
      </c>
      <c r="E86">
        <f>ROUNDUP(D86, 0)</f>
        <v/>
      </c>
      <c r="F86">
        <f>IF(LOWER(C86)="covered", 10.40, 7.55)</f>
        <v/>
      </c>
      <c r="G86">
        <f>E86*F86</f>
        <v/>
      </c>
      <c r="H86" t="n">
        <v>353.6</v>
      </c>
      <c r="I86">
        <f>G86-H86</f>
        <v/>
      </c>
    </row>
    <row r="87">
      <c r="A87" t="inlineStr">
        <is>
          <t>LP-0423</t>
        </is>
      </c>
      <c r="B87" t="inlineStr">
        <is>
          <t>Ledgport</t>
        </is>
      </c>
      <c r="C87" t="inlineStr">
        <is>
          <t>covered</t>
        </is>
      </c>
      <c r="D87" t="n">
        <v>34.6</v>
      </c>
      <c r="E87">
        <f>ROUNDUP(D87, 0)</f>
        <v/>
      </c>
      <c r="F87">
        <f>IF(LOWER(C87)="covered", 10.40, 7.55)</f>
        <v/>
      </c>
      <c r="G87">
        <f>E87*F87</f>
        <v/>
      </c>
      <c r="H87" t="n">
        <v>416</v>
      </c>
      <c r="I87">
        <f>G87-H87</f>
        <v/>
      </c>
    </row>
    <row r="88">
      <c r="A88" t="inlineStr">
        <is>
          <t>LP-0424</t>
        </is>
      </c>
      <c r="B88" t="inlineStr">
        <is>
          <t>Ledgport</t>
        </is>
      </c>
      <c r="C88" t="inlineStr">
        <is>
          <t>covered</t>
        </is>
      </c>
      <c r="D88" t="n">
        <v>28.5</v>
      </c>
      <c r="E88">
        <f>ROUNDUP(D88, 0)</f>
        <v/>
      </c>
      <c r="F88">
        <f>IF(LOWER(C88)="covered", 10.40, 7.55)</f>
        <v/>
      </c>
      <c r="G88">
        <f>E88*F88</f>
        <v/>
      </c>
      <c r="H88" t="n">
        <v>301.6</v>
      </c>
      <c r="I88">
        <f>G88-H88</f>
        <v/>
      </c>
    </row>
    <row r="89">
      <c r="A89" t="inlineStr">
        <is>
          <t>LP-0502</t>
        </is>
      </c>
      <c r="B89" t="inlineStr">
        <is>
          <t>Ledgport</t>
        </is>
      </c>
      <c r="C89" t="inlineStr">
        <is>
          <t>covered</t>
        </is>
      </c>
      <c r="D89" t="n">
        <v>53.6</v>
      </c>
      <c r="E89">
        <f>ROUNDUP(D89, 0)</f>
        <v/>
      </c>
      <c r="F89">
        <f>IF(LOWER(C89)="covered", 10.40, 7.55)</f>
        <v/>
      </c>
      <c r="G89">
        <f>E89*F89</f>
        <v/>
      </c>
      <c r="H89" t="n">
        <v>561.6</v>
      </c>
      <c r="I89">
        <f>G89-H89</f>
        <v/>
      </c>
    </row>
    <row r="90">
      <c r="A90" t="inlineStr">
        <is>
          <t>LP-0503</t>
        </is>
      </c>
      <c r="B90" t="inlineStr">
        <is>
          <t>Ledgport</t>
        </is>
      </c>
      <c r="C90" t="inlineStr">
        <is>
          <t>covered</t>
        </is>
      </c>
      <c r="D90" t="n">
        <v>34</v>
      </c>
      <c r="E90">
        <f>ROUNDUP(D90, 0)</f>
        <v/>
      </c>
      <c r="F90">
        <f>IF(LOWER(C90)="covered", 10.40, 7.55)</f>
        <v/>
      </c>
      <c r="G90">
        <f>E90*F90</f>
        <v/>
      </c>
      <c r="H90" t="n">
        <v>353.6</v>
      </c>
      <c r="I90">
        <f>G90-H90</f>
        <v/>
      </c>
    </row>
    <row r="91">
      <c r="A91" t="inlineStr">
        <is>
          <t>LP-0504</t>
        </is>
      </c>
      <c r="B91" t="inlineStr">
        <is>
          <t>Ledgport</t>
        </is>
      </c>
      <c r="C91" t="inlineStr">
        <is>
          <t>covered</t>
        </is>
      </c>
      <c r="D91" t="n">
        <v>57.8</v>
      </c>
      <c r="E91">
        <f>ROUNDUP(D91, 0)</f>
        <v/>
      </c>
      <c r="F91">
        <f>IF(LOWER(C91)="covered", 10.40, 7.55)</f>
        <v/>
      </c>
      <c r="G91">
        <f>E91*F91</f>
        <v/>
      </c>
      <c r="H91" t="n">
        <v>603.2</v>
      </c>
      <c r="I91">
        <f>G91-H91</f>
        <v/>
      </c>
    </row>
    <row r="92">
      <c r="A92" t="inlineStr">
        <is>
          <t>LP-0505</t>
        </is>
      </c>
      <c r="B92" t="inlineStr">
        <is>
          <t>Ledgport</t>
        </is>
      </c>
      <c r="C92" t="inlineStr">
        <is>
          <t>covered</t>
        </is>
      </c>
      <c r="D92" t="n">
        <v>57.9</v>
      </c>
      <c r="E92">
        <f>ROUNDUP(D92, 0)</f>
        <v/>
      </c>
      <c r="F92">
        <f>IF(LOWER(C92)="covered", 10.40, 7.55)</f>
        <v/>
      </c>
      <c r="G92">
        <f>E92*F92</f>
        <v/>
      </c>
      <c r="H92" t="n">
        <v>603.2</v>
      </c>
      <c r="I92">
        <f>G92-H92</f>
        <v/>
      </c>
    </row>
    <row r="93">
      <c r="A93" t="inlineStr">
        <is>
          <t>LP-0506</t>
        </is>
      </c>
      <c r="B93" t="inlineStr">
        <is>
          <t>Ledgport</t>
        </is>
      </c>
      <c r="C93" t="inlineStr">
        <is>
          <t>covered</t>
        </is>
      </c>
      <c r="D93" t="n">
        <v>46.7</v>
      </c>
      <c r="E93">
        <f>ROUNDUP(D93, 0)</f>
        <v/>
      </c>
      <c r="F93">
        <f>IF(LOWER(C93)="covered", 10.40, 7.55)</f>
        <v/>
      </c>
      <c r="G93">
        <f>E93*F93</f>
        <v/>
      </c>
      <c r="H93" t="n">
        <v>488.8</v>
      </c>
      <c r="I93">
        <f>G93-H93</f>
        <v/>
      </c>
    </row>
    <row r="94">
      <c r="A94" t="inlineStr">
        <is>
          <t>LP-0507</t>
        </is>
      </c>
      <c r="B94" t="inlineStr">
        <is>
          <t>Ledgport</t>
        </is>
      </c>
      <c r="C94" t="inlineStr">
        <is>
          <t>covered</t>
        </is>
      </c>
      <c r="D94" t="n">
        <v>41</v>
      </c>
      <c r="E94">
        <f>ROUNDUP(D94, 0)</f>
        <v/>
      </c>
      <c r="F94">
        <f>IF(LOWER(C94)="covered", 10.40, 7.55)</f>
        <v/>
      </c>
      <c r="G94">
        <f>E94*F94</f>
        <v/>
      </c>
      <c r="H94" t="n">
        <v>426.4</v>
      </c>
      <c r="I94">
        <f>G94-H94</f>
        <v/>
      </c>
    </row>
    <row r="95">
      <c r="A95" t="inlineStr">
        <is>
          <t>LP-0508</t>
        </is>
      </c>
      <c r="B95" t="inlineStr">
        <is>
          <t>Ledgport</t>
        </is>
      </c>
      <c r="C95" t="inlineStr">
        <is>
          <t>covered</t>
        </is>
      </c>
      <c r="D95" t="n">
        <v>56.6</v>
      </c>
      <c r="E95">
        <f>ROUNDUP(D95, 0)</f>
        <v/>
      </c>
      <c r="F95">
        <f>IF(LOWER(C95)="covered", 10.40, 7.55)</f>
        <v/>
      </c>
      <c r="G95">
        <f>E95*F95</f>
        <v/>
      </c>
      <c r="H95" t="n">
        <v>592.8</v>
      </c>
      <c r="I95">
        <f>G95-H95</f>
        <v/>
      </c>
    </row>
    <row r="96">
      <c r="A96" t="inlineStr">
        <is>
          <t>LP-0509</t>
        </is>
      </c>
      <c r="B96" t="inlineStr">
        <is>
          <t>Ledgport</t>
        </is>
      </c>
      <c r="C96" t="inlineStr">
        <is>
          <t>covered</t>
        </is>
      </c>
      <c r="D96" t="n">
        <v>50</v>
      </c>
      <c r="E96">
        <f>ROUNDUP(D96, 0)</f>
        <v/>
      </c>
      <c r="F96">
        <f>IF(LOWER(C96)="covered", 10.40, 7.55)</f>
        <v/>
      </c>
      <c r="G96">
        <f>E96*F96</f>
        <v/>
      </c>
      <c r="H96" t="n">
        <v>520</v>
      </c>
      <c r="I96">
        <f>G96-H96</f>
        <v/>
      </c>
    </row>
    <row r="97">
      <c r="A97" t="inlineStr">
        <is>
          <t>LP-0510</t>
        </is>
      </c>
      <c r="B97" t="inlineStr">
        <is>
          <t>Ledgport</t>
        </is>
      </c>
      <c r="C97" t="inlineStr">
        <is>
          <t>covered</t>
        </is>
      </c>
      <c r="D97" t="n">
        <v>58.7</v>
      </c>
      <c r="E97">
        <f>ROUNDUP(D97, 0)</f>
        <v/>
      </c>
      <c r="F97">
        <f>IF(LOWER(C97)="covered", 10.40, 7.55)</f>
        <v/>
      </c>
      <c r="G97">
        <f>E97*F97</f>
        <v/>
      </c>
      <c r="H97" t="n">
        <v>613.6</v>
      </c>
      <c r="I97">
        <f>G97-H97</f>
        <v/>
      </c>
    </row>
    <row r="98">
      <c r="A98" t="inlineStr">
        <is>
          <t>LP-0511</t>
        </is>
      </c>
      <c r="B98" t="inlineStr">
        <is>
          <t>Ledgport</t>
        </is>
      </c>
      <c r="C98" t="inlineStr">
        <is>
          <t>covered</t>
        </is>
      </c>
      <c r="D98" t="n">
        <v>23.7</v>
      </c>
      <c r="E98">
        <f>ROUNDUP(D98, 0)</f>
        <v/>
      </c>
      <c r="F98">
        <f>IF(LOWER(C98)="covered", 10.40, 7.55)</f>
        <v/>
      </c>
      <c r="G98">
        <f>E98*F98</f>
        <v/>
      </c>
      <c r="H98" t="n">
        <v>416</v>
      </c>
      <c r="I98">
        <f>G98-H98</f>
        <v/>
      </c>
    </row>
    <row r="99">
      <c r="A99" t="inlineStr">
        <is>
          <t>LP-0512</t>
        </is>
      </c>
      <c r="B99" t="inlineStr">
        <is>
          <t>Ledgport</t>
        </is>
      </c>
      <c r="C99" t="inlineStr">
        <is>
          <t>covered</t>
        </is>
      </c>
      <c r="D99" t="n">
        <v>19</v>
      </c>
      <c r="E99">
        <f>ROUNDUP(D99, 0)</f>
        <v/>
      </c>
      <c r="F99">
        <f>IF(LOWER(C99)="covered", 10.40, 7.55)</f>
        <v/>
      </c>
      <c r="G99">
        <f>E99*F99</f>
        <v/>
      </c>
      <c r="H99" t="n">
        <v>416</v>
      </c>
      <c r="I99">
        <f>G99-H99</f>
        <v/>
      </c>
    </row>
    <row r="100">
      <c r="A100" t="inlineStr">
        <is>
          <t>LP-0513</t>
        </is>
      </c>
      <c r="B100" t="inlineStr">
        <is>
          <t>Ledgport</t>
        </is>
      </c>
      <c r="C100" t="inlineStr">
        <is>
          <t>covered</t>
        </is>
      </c>
      <c r="D100" t="n">
        <v>40.2</v>
      </c>
      <c r="E100">
        <f>ROUNDUP(D100, 0)</f>
        <v/>
      </c>
      <c r="F100">
        <f>IF(LOWER(C100)="covered", 10.40, 7.55)</f>
        <v/>
      </c>
      <c r="G100">
        <f>E100*F100</f>
        <v/>
      </c>
      <c r="H100" t="n">
        <v>426.4</v>
      </c>
      <c r="I100">
        <f>G100-H100</f>
        <v/>
      </c>
    </row>
    <row r="101">
      <c r="A101" t="inlineStr">
        <is>
          <t>LP-0514</t>
        </is>
      </c>
      <c r="B101" t="inlineStr">
        <is>
          <t>Ledgport</t>
        </is>
      </c>
      <c r="C101" t="inlineStr">
        <is>
          <t>covered</t>
        </is>
      </c>
      <c r="D101" t="n">
        <v>23.3</v>
      </c>
      <c r="E101">
        <f>ROUNDUP(D101, 0)</f>
        <v/>
      </c>
      <c r="F101">
        <f>IF(LOWER(C101)="covered", 10.40, 7.55)</f>
        <v/>
      </c>
      <c r="G101">
        <f>E101*F101</f>
        <v/>
      </c>
      <c r="H101" t="n">
        <v>291.2</v>
      </c>
      <c r="I101">
        <f>G101-H101</f>
        <v/>
      </c>
    </row>
    <row r="102">
      <c r="A102" t="inlineStr">
        <is>
          <t>LP-0516</t>
        </is>
      </c>
      <c r="B102" t="inlineStr">
        <is>
          <t>Ledgport</t>
        </is>
      </c>
      <c r="C102" t="inlineStr">
        <is>
          <t>covered</t>
        </is>
      </c>
      <c r="D102" t="n">
        <v>18.9</v>
      </c>
      <c r="E102">
        <f>ROUNDUP(D102, 0)</f>
        <v/>
      </c>
      <c r="F102">
        <f>IF(LOWER(C102)="covered", 10.40, 7.55)</f>
        <v/>
      </c>
      <c r="G102">
        <f>E102*F102</f>
        <v/>
      </c>
      <c r="H102" t="n">
        <v>416</v>
      </c>
      <c r="I102">
        <f>G102-H102</f>
        <v/>
      </c>
    </row>
    <row r="103">
      <c r="A103" t="inlineStr">
        <is>
          <t>LP-0517</t>
        </is>
      </c>
      <c r="B103" t="inlineStr">
        <is>
          <t>Ledgport</t>
        </is>
      </c>
      <c r="C103" t="inlineStr">
        <is>
          <t>covered</t>
        </is>
      </c>
      <c r="D103" t="n">
        <v>55</v>
      </c>
      <c r="E103">
        <f>ROUNDUP(D103, 0)</f>
        <v/>
      </c>
      <c r="F103">
        <f>IF(LOWER(C103)="covered", 10.40, 7.55)</f>
        <v/>
      </c>
      <c r="G103">
        <f>E103*F103</f>
        <v/>
      </c>
      <c r="H103" t="n">
        <v>572</v>
      </c>
      <c r="I103">
        <f>G103-H103</f>
        <v/>
      </c>
    </row>
    <row r="104">
      <c r="A104" t="inlineStr">
        <is>
          <t>LP-0518</t>
        </is>
      </c>
      <c r="B104" t="inlineStr">
        <is>
          <t>Ledgport</t>
        </is>
      </c>
      <c r="C104" t="inlineStr">
        <is>
          <t>covered</t>
        </is>
      </c>
      <c r="D104" t="n">
        <v>34.6</v>
      </c>
      <c r="E104">
        <f>ROUNDUP(D104, 0)</f>
        <v/>
      </c>
      <c r="F104">
        <f>IF(LOWER(C104)="covered", 10.40, 7.55)</f>
        <v/>
      </c>
      <c r="G104">
        <f>E104*F104</f>
        <v/>
      </c>
      <c r="H104" t="n">
        <v>374.4</v>
      </c>
      <c r="I104">
        <f>G104-H104</f>
        <v/>
      </c>
    </row>
    <row r="105">
      <c r="A105" t="inlineStr">
        <is>
          <t>LP-0519</t>
        </is>
      </c>
      <c r="B105" t="inlineStr">
        <is>
          <t>Ledgport</t>
        </is>
      </c>
      <c r="C105" t="inlineStr">
        <is>
          <t>covered</t>
        </is>
      </c>
      <c r="D105" t="n">
        <v>36.5</v>
      </c>
      <c r="E105">
        <f>ROUNDUP(D105, 0)</f>
        <v/>
      </c>
      <c r="F105">
        <f>IF(LOWER(C105)="covered", 10.40, 7.55)</f>
        <v/>
      </c>
      <c r="G105">
        <f>E105*F105</f>
        <v/>
      </c>
      <c r="H105" t="n">
        <v>384.8</v>
      </c>
      <c r="I105">
        <f>G105-H105</f>
        <v/>
      </c>
    </row>
    <row r="106">
      <c r="A106" t="inlineStr">
        <is>
          <t>LP-0520</t>
        </is>
      </c>
      <c r="B106" t="inlineStr">
        <is>
          <t>Ledgport</t>
        </is>
      </c>
      <c r="C106" t="inlineStr">
        <is>
          <t>covered</t>
        </is>
      </c>
      <c r="D106" t="n">
        <v>38.5</v>
      </c>
      <c r="E106">
        <f>ROUNDUP(D106, 0)</f>
        <v/>
      </c>
      <c r="F106">
        <f>IF(LOWER(C106)="covered", 10.40, 7.55)</f>
        <v/>
      </c>
      <c r="G106">
        <f>E106*F106</f>
        <v/>
      </c>
      <c r="H106" t="n">
        <v>405.6</v>
      </c>
      <c r="I106">
        <f>G106-H106</f>
        <v/>
      </c>
    </row>
    <row r="107">
      <c r="A107" t="inlineStr">
        <is>
          <t>LP-0521</t>
        </is>
      </c>
      <c r="B107" t="inlineStr">
        <is>
          <t>Ledgport</t>
        </is>
      </c>
      <c r="C107" t="inlineStr">
        <is>
          <t>covered</t>
        </is>
      </c>
      <c r="D107" t="n">
        <v>39.5</v>
      </c>
      <c r="E107">
        <f>ROUNDUP(D107, 0)</f>
        <v/>
      </c>
      <c r="F107">
        <f>IF(LOWER(C107)="covered", 10.40, 7.55)</f>
        <v/>
      </c>
      <c r="G107">
        <f>E107*F107</f>
        <v/>
      </c>
      <c r="H107" t="n">
        <v>416</v>
      </c>
      <c r="I107">
        <f>G107-H107</f>
        <v/>
      </c>
    </row>
    <row r="108">
      <c r="A108" t="inlineStr">
        <is>
          <t>LP-0522</t>
        </is>
      </c>
      <c r="B108" t="inlineStr">
        <is>
          <t>Ledgport</t>
        </is>
      </c>
      <c r="C108" t="inlineStr">
        <is>
          <t>covered</t>
        </is>
      </c>
      <c r="D108" t="n">
        <v>60.6</v>
      </c>
      <c r="E108">
        <f>ROUNDUP(D108, 0)</f>
        <v/>
      </c>
      <c r="F108">
        <f>IF(LOWER(C108)="covered", 10.40, 7.55)</f>
        <v/>
      </c>
      <c r="G108">
        <f>E108*F108</f>
        <v/>
      </c>
      <c r="H108" t="n">
        <v>634.4</v>
      </c>
      <c r="I108">
        <f>G108-H108</f>
        <v/>
      </c>
    </row>
    <row r="109">
      <c r="A109" t="inlineStr">
        <is>
          <t>LP-0523</t>
        </is>
      </c>
      <c r="B109" t="inlineStr">
        <is>
          <t>Ledgport</t>
        </is>
      </c>
      <c r="C109" t="inlineStr">
        <is>
          <t>covered</t>
        </is>
      </c>
      <c r="D109" t="n">
        <v>24.2</v>
      </c>
      <c r="E109">
        <f>ROUNDUP(D109, 0)</f>
        <v/>
      </c>
      <c r="F109">
        <f>IF(LOWER(C109)="covered", 10.40, 7.55)</f>
        <v/>
      </c>
      <c r="G109">
        <f>E109*F109</f>
        <v/>
      </c>
      <c r="H109" t="n">
        <v>260</v>
      </c>
      <c r="I109">
        <f>G109-H109</f>
        <v/>
      </c>
    </row>
    <row r="110">
      <c r="A110" t="inlineStr">
        <is>
          <t>LP-0524</t>
        </is>
      </c>
      <c r="B110" t="inlineStr">
        <is>
          <t>Ledgport</t>
        </is>
      </c>
      <c r="C110" t="inlineStr">
        <is>
          <t>covered</t>
        </is>
      </c>
      <c r="D110" t="n">
        <v>24.6</v>
      </c>
      <c r="E110">
        <f>ROUNDUP(D110, 0)</f>
        <v/>
      </c>
      <c r="F110">
        <f>IF(LOWER(C110)="covered", 10.40, 7.55)</f>
        <v/>
      </c>
      <c r="G110">
        <f>E110*F110</f>
        <v/>
      </c>
      <c r="H110" t="n">
        <v>291.2</v>
      </c>
      <c r="I110">
        <f>G110-H110</f>
        <v/>
      </c>
    </row>
    <row r="111">
      <c r="A111" t="inlineStr">
        <is>
          <t>LP-0601</t>
        </is>
      </c>
      <c r="B111" t="inlineStr">
        <is>
          <t>Ledgport</t>
        </is>
      </c>
      <c r="C111" t="inlineStr">
        <is>
          <t>covered</t>
        </is>
      </c>
      <c r="D111" t="n">
        <v>29.3</v>
      </c>
      <c r="E111">
        <f>ROUNDUP(D111, 0)</f>
        <v/>
      </c>
      <c r="F111">
        <f>IF(LOWER(C111)="covered", 10.40, 7.55)</f>
        <v/>
      </c>
      <c r="G111">
        <f>E111*F111</f>
        <v/>
      </c>
      <c r="H111" t="n">
        <v>312</v>
      </c>
      <c r="I111">
        <f>G111-H111</f>
        <v/>
      </c>
    </row>
    <row r="112">
      <c r="A112" t="inlineStr">
        <is>
          <t>LP-0602</t>
        </is>
      </c>
      <c r="B112" t="inlineStr">
        <is>
          <t>Ledgport</t>
        </is>
      </c>
      <c r="C112" t="inlineStr">
        <is>
          <t>covered</t>
        </is>
      </c>
      <c r="D112" t="n">
        <v>57.7</v>
      </c>
      <c r="E112">
        <f>ROUNDUP(D112, 0)</f>
        <v/>
      </c>
      <c r="F112">
        <f>IF(LOWER(C112)="covered", 10.40, 7.55)</f>
        <v/>
      </c>
      <c r="G112">
        <f>E112*F112</f>
        <v/>
      </c>
      <c r="H112" t="n">
        <v>603.2</v>
      </c>
      <c r="I112">
        <f>G112-H112</f>
        <v/>
      </c>
    </row>
    <row r="113">
      <c r="A113" t="inlineStr">
        <is>
          <t>LP-0603</t>
        </is>
      </c>
      <c r="B113" t="inlineStr">
        <is>
          <t>Ledgport</t>
        </is>
      </c>
      <c r="C113" t="inlineStr">
        <is>
          <t>covered</t>
        </is>
      </c>
      <c r="D113" t="n">
        <v>32.2</v>
      </c>
      <c r="E113">
        <f>ROUNDUP(D113, 0)</f>
        <v/>
      </c>
      <c r="F113">
        <f>IF(LOWER(C113)="covered", 10.40, 7.55)</f>
        <v/>
      </c>
      <c r="G113">
        <f>E113*F113</f>
        <v/>
      </c>
      <c r="H113" t="n">
        <v>343.2</v>
      </c>
      <c r="I113">
        <f>G113-H113</f>
        <v/>
      </c>
    </row>
    <row r="114">
      <c r="A114" t="inlineStr">
        <is>
          <t>LP-0604</t>
        </is>
      </c>
      <c r="B114" t="inlineStr">
        <is>
          <t>Ledgport</t>
        </is>
      </c>
      <c r="C114" t="inlineStr">
        <is>
          <t>covered</t>
        </is>
      </c>
      <c r="D114" t="n">
        <v>51</v>
      </c>
      <c r="E114">
        <f>ROUNDUP(D114, 0)</f>
        <v/>
      </c>
      <c r="F114">
        <f>IF(LOWER(C114)="covered", 10.40, 7.55)</f>
        <v/>
      </c>
      <c r="G114">
        <f>E114*F114</f>
        <v/>
      </c>
      <c r="H114" t="n">
        <v>530.4</v>
      </c>
      <c r="I114">
        <f>G114-H114</f>
        <v/>
      </c>
    </row>
    <row r="115">
      <c r="A115" t="inlineStr">
        <is>
          <t>LP-0605</t>
        </is>
      </c>
      <c r="B115" t="inlineStr">
        <is>
          <t>Ledgport</t>
        </is>
      </c>
      <c r="C115" t="inlineStr">
        <is>
          <t>covered</t>
        </is>
      </c>
      <c r="D115" t="n">
        <v>50.9</v>
      </c>
      <c r="E115">
        <f>ROUNDUP(D115, 0)</f>
        <v/>
      </c>
      <c r="F115">
        <f>IF(LOWER(C115)="covered", 10.40, 7.55)</f>
        <v/>
      </c>
      <c r="G115">
        <f>E115*F115</f>
        <v/>
      </c>
      <c r="H115" t="n">
        <v>530.4</v>
      </c>
      <c r="I115">
        <f>G115-H115</f>
        <v/>
      </c>
    </row>
    <row r="116">
      <c r="A116" t="inlineStr">
        <is>
          <t>LP-0606</t>
        </is>
      </c>
      <c r="B116" t="inlineStr">
        <is>
          <t>Ledgport</t>
        </is>
      </c>
      <c r="C116" t="inlineStr">
        <is>
          <t>covered</t>
        </is>
      </c>
      <c r="D116" t="n">
        <v>61.2</v>
      </c>
      <c r="E116">
        <f>ROUNDUP(D116, 0)</f>
        <v/>
      </c>
      <c r="F116">
        <f>IF(LOWER(C116)="covered", 10.40, 7.55)</f>
        <v/>
      </c>
      <c r="G116">
        <f>E116*F116</f>
        <v/>
      </c>
      <c r="H116" t="n">
        <v>644.8</v>
      </c>
      <c r="I116">
        <f>G116-H116</f>
        <v/>
      </c>
    </row>
    <row r="117">
      <c r="A117" t="inlineStr">
        <is>
          <t>LP-0607</t>
        </is>
      </c>
      <c r="B117" t="inlineStr">
        <is>
          <t>Ledgport</t>
        </is>
      </c>
      <c r="C117" t="inlineStr">
        <is>
          <t>covered</t>
        </is>
      </c>
      <c r="D117" t="n">
        <v>30.7</v>
      </c>
      <c r="E117">
        <f>ROUNDUP(D117, 0)</f>
        <v/>
      </c>
      <c r="F117">
        <f>IF(LOWER(C117)="covered", 10.40, 7.55)</f>
        <v/>
      </c>
      <c r="G117">
        <f>E117*F117</f>
        <v/>
      </c>
      <c r="H117" t="n">
        <v>416</v>
      </c>
      <c r="I117">
        <f>G117-H117</f>
        <v/>
      </c>
    </row>
    <row r="118">
      <c r="A118" t="inlineStr">
        <is>
          <t>LP-0608</t>
        </is>
      </c>
      <c r="B118" t="inlineStr">
        <is>
          <t>Ledgport</t>
        </is>
      </c>
      <c r="C118" t="inlineStr">
        <is>
          <t>covered</t>
        </is>
      </c>
      <c r="D118" t="n">
        <v>22.6</v>
      </c>
      <c r="E118">
        <f>ROUNDUP(D118, 0)</f>
        <v/>
      </c>
      <c r="F118">
        <f>IF(LOWER(C118)="covered", 10.40, 7.55)</f>
        <v/>
      </c>
      <c r="G118">
        <f>E118*F118</f>
        <v/>
      </c>
      <c r="H118" t="n">
        <v>291.2</v>
      </c>
      <c r="I118">
        <f>G118-H118</f>
        <v/>
      </c>
    </row>
    <row r="119">
      <c r="A119" t="inlineStr">
        <is>
          <t>LP-0609</t>
        </is>
      </c>
      <c r="B119" t="inlineStr">
        <is>
          <t>Ledgport</t>
        </is>
      </c>
      <c r="C119" t="inlineStr">
        <is>
          <t>covered</t>
        </is>
      </c>
      <c r="D119" t="n">
        <v>37.3</v>
      </c>
      <c r="E119">
        <f>ROUNDUP(D119, 0)</f>
        <v/>
      </c>
      <c r="F119">
        <f>IF(LOWER(C119)="covered", 10.40, 7.55)</f>
        <v/>
      </c>
      <c r="G119">
        <f>E119*F119</f>
        <v/>
      </c>
      <c r="H119" t="n">
        <v>395.2</v>
      </c>
      <c r="I119">
        <f>G119-H119</f>
        <v/>
      </c>
    </row>
    <row r="120">
      <c r="A120" t="inlineStr">
        <is>
          <t>LP-0610</t>
        </is>
      </c>
      <c r="B120" t="inlineStr">
        <is>
          <t>Ledgport</t>
        </is>
      </c>
      <c r="C120" t="inlineStr">
        <is>
          <t>covered</t>
        </is>
      </c>
      <c r="D120" t="n">
        <v>34.5</v>
      </c>
      <c r="E120">
        <f>ROUNDUP(D120, 0)</f>
        <v/>
      </c>
      <c r="F120">
        <f>IF(LOWER(C120)="covered", 10.40, 7.55)</f>
        <v/>
      </c>
      <c r="G120">
        <f>E120*F120</f>
        <v/>
      </c>
      <c r="H120" t="n">
        <v>364</v>
      </c>
      <c r="I120">
        <f>G120-H120</f>
        <v/>
      </c>
    </row>
    <row r="121">
      <c r="A121" t="inlineStr">
        <is>
          <t>LP-0611</t>
        </is>
      </c>
      <c r="B121" t="inlineStr">
        <is>
          <t>Ledgport</t>
        </is>
      </c>
      <c r="C121" t="inlineStr">
        <is>
          <t>covered</t>
        </is>
      </c>
      <c r="D121" t="n">
        <v>60.7</v>
      </c>
      <c r="E121">
        <f>ROUNDUP(D121, 0)</f>
        <v/>
      </c>
      <c r="F121">
        <f>IF(LOWER(C121)="covered", 10.40, 7.55)</f>
        <v/>
      </c>
      <c r="G121">
        <f>E121*F121</f>
        <v/>
      </c>
      <c r="H121" t="n">
        <v>634.4</v>
      </c>
      <c r="I121">
        <f>G121-H121</f>
        <v/>
      </c>
    </row>
    <row r="122">
      <c r="A122" t="inlineStr">
        <is>
          <t>LP-0612</t>
        </is>
      </c>
      <c r="B122" t="inlineStr">
        <is>
          <t>Ledgport</t>
        </is>
      </c>
      <c r="C122" t="inlineStr">
        <is>
          <t>covered</t>
        </is>
      </c>
      <c r="D122" t="n">
        <v>18.6</v>
      </c>
      <c r="E122">
        <f>ROUNDUP(D122, 0)</f>
        <v/>
      </c>
      <c r="F122">
        <f>IF(LOWER(C122)="covered", 10.40, 7.55)</f>
        <v/>
      </c>
      <c r="G122">
        <f>E122*F122</f>
        <v/>
      </c>
      <c r="H122" t="n">
        <v>332.8</v>
      </c>
      <c r="I122">
        <f>G122-H122</f>
        <v/>
      </c>
    </row>
    <row r="123">
      <c r="A123" t="inlineStr">
        <is>
          <t>LP-0613</t>
        </is>
      </c>
      <c r="B123" t="inlineStr">
        <is>
          <t>Ledgport</t>
        </is>
      </c>
      <c r="C123" t="inlineStr">
        <is>
          <t>covered</t>
        </is>
      </c>
      <c r="D123" t="n">
        <v>52.8</v>
      </c>
      <c r="E123">
        <f>ROUNDUP(D123, 0)</f>
        <v/>
      </c>
      <c r="F123">
        <f>IF(LOWER(C123)="covered", 10.40, 7.55)</f>
        <v/>
      </c>
      <c r="G123">
        <f>E123*F123</f>
        <v/>
      </c>
      <c r="H123" t="n">
        <v>551.2</v>
      </c>
      <c r="I123">
        <f>G123-H123</f>
        <v/>
      </c>
    </row>
    <row r="124">
      <c r="A124" t="inlineStr">
        <is>
          <t>LP-0614</t>
        </is>
      </c>
      <c r="B124" t="inlineStr">
        <is>
          <t>Ledgport</t>
        </is>
      </c>
      <c r="C124" t="inlineStr">
        <is>
          <t>covered</t>
        </is>
      </c>
      <c r="D124" t="n">
        <v>18.7</v>
      </c>
      <c r="E124">
        <f>ROUNDUP(D124, 0)</f>
        <v/>
      </c>
      <c r="F124">
        <f>IF(LOWER(C124)="covered", 10.40, 7.55)</f>
        <v/>
      </c>
      <c r="G124">
        <f>E124*F124</f>
        <v/>
      </c>
      <c r="H124" t="n">
        <v>291.2</v>
      </c>
      <c r="I124">
        <f>G124-H124</f>
        <v/>
      </c>
    </row>
    <row r="125">
      <c r="A125" t="inlineStr">
        <is>
          <t>LP-0615</t>
        </is>
      </c>
      <c r="B125" t="inlineStr">
        <is>
          <t>Ledgport</t>
        </is>
      </c>
      <c r="C125" t="inlineStr">
        <is>
          <t>covered</t>
        </is>
      </c>
      <c r="D125" t="n">
        <v>37.5</v>
      </c>
      <c r="E125">
        <f>ROUNDUP(D125, 0)</f>
        <v/>
      </c>
      <c r="F125">
        <f>IF(LOWER(C125)="covered", 10.40, 7.55)</f>
        <v/>
      </c>
      <c r="G125">
        <f>E125*F125</f>
        <v/>
      </c>
      <c r="H125" t="n">
        <v>395.2</v>
      </c>
      <c r="I125">
        <f>G125-H125</f>
        <v/>
      </c>
    </row>
    <row r="126">
      <c r="A126" t="inlineStr">
        <is>
          <t>LP-0616</t>
        </is>
      </c>
      <c r="B126" t="inlineStr">
        <is>
          <t>Ledgport</t>
        </is>
      </c>
      <c r="C126" t="inlineStr">
        <is>
          <t>covered</t>
        </is>
      </c>
      <c r="D126" t="n">
        <v>51.4</v>
      </c>
      <c r="E126">
        <f>ROUNDUP(D126, 0)</f>
        <v/>
      </c>
      <c r="F126">
        <f>IF(LOWER(C126)="covered", 10.40, 7.55)</f>
        <v/>
      </c>
      <c r="G126">
        <f>E126*F126</f>
        <v/>
      </c>
      <c r="H126" t="n">
        <v>540.8</v>
      </c>
      <c r="I126">
        <f>G126-H126</f>
        <v/>
      </c>
    </row>
    <row r="127">
      <c r="A127" t="inlineStr">
        <is>
          <t>LP-0617</t>
        </is>
      </c>
      <c r="B127" t="inlineStr">
        <is>
          <t>Ledgport</t>
        </is>
      </c>
      <c r="C127" t="inlineStr">
        <is>
          <t>covered</t>
        </is>
      </c>
      <c r="D127" t="n">
        <v>35.6</v>
      </c>
      <c r="E127">
        <f>ROUNDUP(D127, 0)</f>
        <v/>
      </c>
      <c r="F127">
        <f>IF(LOWER(C127)="covered", 10.40, 7.55)</f>
        <v/>
      </c>
      <c r="G127">
        <f>E127*F127</f>
        <v/>
      </c>
      <c r="H127" t="n">
        <v>374.4</v>
      </c>
      <c r="I127">
        <f>G127-H127</f>
        <v/>
      </c>
    </row>
    <row r="128">
      <c r="A128" t="inlineStr">
        <is>
          <t>LP-0618</t>
        </is>
      </c>
      <c r="B128" t="inlineStr">
        <is>
          <t>Ledgport</t>
        </is>
      </c>
      <c r="C128" t="inlineStr">
        <is>
          <t>covered</t>
        </is>
      </c>
      <c r="D128" t="n">
        <v>30.1</v>
      </c>
      <c r="E128">
        <f>ROUNDUP(D128, 0)</f>
        <v/>
      </c>
      <c r="F128">
        <f>IF(LOWER(C128)="covered", 10.40, 7.55)</f>
        <v/>
      </c>
      <c r="G128">
        <f>E128*F128</f>
        <v/>
      </c>
      <c r="H128" t="n">
        <v>332.8</v>
      </c>
      <c r="I128">
        <f>G128-H128</f>
        <v/>
      </c>
    </row>
    <row r="129">
      <c r="A129" t="inlineStr">
        <is>
          <t>LP-0620</t>
        </is>
      </c>
      <c r="B129" t="inlineStr">
        <is>
          <t>Ledgport</t>
        </is>
      </c>
      <c r="C129" t="inlineStr">
        <is>
          <t>covered</t>
        </is>
      </c>
      <c r="D129" t="n">
        <v>40.5</v>
      </c>
      <c r="E129">
        <f>ROUNDUP(D129, 0)</f>
        <v/>
      </c>
      <c r="F129">
        <f>IF(LOWER(C129)="covered", 10.40, 7.55)</f>
        <v/>
      </c>
      <c r="G129">
        <f>E129*F129</f>
        <v/>
      </c>
      <c r="H129" t="n">
        <v>426.4</v>
      </c>
      <c r="I129">
        <f>G129-H129</f>
        <v/>
      </c>
    </row>
    <row r="130">
      <c r="A130" t="inlineStr">
        <is>
          <t>LP-0621</t>
        </is>
      </c>
      <c r="B130" t="inlineStr">
        <is>
          <t>Ledgport</t>
        </is>
      </c>
      <c r="C130" t="inlineStr">
        <is>
          <t>covered</t>
        </is>
      </c>
      <c r="D130" t="n">
        <v>22</v>
      </c>
      <c r="E130">
        <f>ROUNDUP(D130, 0)</f>
        <v/>
      </c>
      <c r="F130">
        <f>IF(LOWER(C130)="covered", 10.40, 7.55)</f>
        <v/>
      </c>
      <c r="G130">
        <f>E130*F130</f>
        <v/>
      </c>
      <c r="H130" t="n">
        <v>416</v>
      </c>
      <c r="I130">
        <f>G130-H130</f>
        <v/>
      </c>
    </row>
    <row r="131">
      <c r="A131" t="inlineStr">
        <is>
          <t>LP-0622</t>
        </is>
      </c>
      <c r="B131" t="inlineStr">
        <is>
          <t>Ledgport</t>
        </is>
      </c>
      <c r="C131" t="inlineStr">
        <is>
          <t>covered</t>
        </is>
      </c>
      <c r="D131" t="n">
        <v>39.4</v>
      </c>
      <c r="E131">
        <f>ROUNDUP(D131, 0)</f>
        <v/>
      </c>
      <c r="F131">
        <f>IF(LOWER(C131)="covered", 10.40, 7.55)</f>
        <v/>
      </c>
      <c r="G131">
        <f>E131*F131</f>
        <v/>
      </c>
      <c r="H131" t="n">
        <v>416</v>
      </c>
      <c r="I131">
        <f>G131-H131</f>
        <v/>
      </c>
    </row>
    <row r="132">
      <c r="A132" t="inlineStr">
        <is>
          <t>LP-0623</t>
        </is>
      </c>
      <c r="B132" t="inlineStr">
        <is>
          <t>Ledgport</t>
        </is>
      </c>
      <c r="C132" t="inlineStr">
        <is>
          <t>covered</t>
        </is>
      </c>
      <c r="D132" t="n">
        <v>53.9</v>
      </c>
      <c r="E132">
        <f>ROUNDUP(D132, 0)</f>
        <v/>
      </c>
      <c r="F132">
        <f>IF(LOWER(C132)="covered", 10.40, 7.55)</f>
        <v/>
      </c>
      <c r="G132">
        <f>E132*F132</f>
        <v/>
      </c>
      <c r="H132" t="n">
        <v>561.6</v>
      </c>
      <c r="I132">
        <f>G132-H132</f>
        <v/>
      </c>
    </row>
    <row r="133">
      <c r="A133" t="inlineStr">
        <is>
          <t>LP-0624</t>
        </is>
      </c>
      <c r="B133" t="inlineStr">
        <is>
          <t>Ledgport</t>
        </is>
      </c>
      <c r="C133" t="inlineStr">
        <is>
          <t>covered</t>
        </is>
      </c>
      <c r="D133" t="n">
        <v>49.8</v>
      </c>
      <c r="E133">
        <f>ROUNDUP(D133, 0)</f>
        <v/>
      </c>
      <c r="F133">
        <f>IF(LOWER(C133)="covered", 10.40, 7.55)</f>
        <v/>
      </c>
      <c r="G133">
        <f>E133*F133</f>
        <v/>
      </c>
      <c r="H133" t="n">
        <v>520</v>
      </c>
      <c r="I133">
        <f>G133-H133</f>
        <v/>
      </c>
    </row>
    <row r="134">
      <c r="A134" t="inlineStr">
        <is>
          <t>LP-0701</t>
        </is>
      </c>
      <c r="B134" t="inlineStr">
        <is>
          <t>Ledgport</t>
        </is>
      </c>
      <c r="C134" t="inlineStr">
        <is>
          <t>covered</t>
        </is>
      </c>
      <c r="D134" t="n">
        <v>43.4</v>
      </c>
      <c r="E134">
        <f>ROUNDUP(D134, 0)</f>
        <v/>
      </c>
      <c r="F134">
        <f>IF(LOWER(C134)="covered", 10.40, 7.55)</f>
        <v/>
      </c>
      <c r="G134">
        <f>E134*F134</f>
        <v/>
      </c>
      <c r="H134" t="n">
        <v>457.6</v>
      </c>
      <c r="I134">
        <f>G134-H134</f>
        <v/>
      </c>
    </row>
    <row r="135">
      <c r="A135" t="inlineStr">
        <is>
          <t>LP-0702</t>
        </is>
      </c>
      <c r="B135" t="inlineStr">
        <is>
          <t>Ledgport</t>
        </is>
      </c>
      <c r="C135" t="inlineStr">
        <is>
          <t>covered</t>
        </is>
      </c>
      <c r="D135" t="n">
        <v>51.4</v>
      </c>
      <c r="E135">
        <f>ROUNDUP(D135, 0)</f>
        <v/>
      </c>
      <c r="F135">
        <f>IF(LOWER(C135)="covered", 10.40, 7.55)</f>
        <v/>
      </c>
      <c r="G135">
        <f>E135*F135</f>
        <v/>
      </c>
      <c r="H135" t="n">
        <v>540.8</v>
      </c>
      <c r="I135">
        <f>G135-H135</f>
        <v/>
      </c>
    </row>
    <row r="136">
      <c r="A136" t="inlineStr">
        <is>
          <t>LP-0703</t>
        </is>
      </c>
      <c r="B136" t="inlineStr">
        <is>
          <t>Ledgport</t>
        </is>
      </c>
      <c r="C136" t="inlineStr">
        <is>
          <t>covered</t>
        </is>
      </c>
      <c r="D136" t="n">
        <v>58.9</v>
      </c>
      <c r="E136">
        <f>ROUNDUP(D136, 0)</f>
        <v/>
      </c>
      <c r="F136">
        <f>IF(LOWER(C136)="covered", 10.40, 7.55)</f>
        <v/>
      </c>
      <c r="G136">
        <f>E136*F136</f>
        <v/>
      </c>
      <c r="H136" t="n">
        <v>613.6</v>
      </c>
      <c r="I136">
        <f>G136-H136</f>
        <v/>
      </c>
    </row>
    <row r="137">
      <c r="A137" t="inlineStr">
        <is>
          <t>LP-0704</t>
        </is>
      </c>
      <c r="B137" t="inlineStr">
        <is>
          <t>Ledgport</t>
        </is>
      </c>
      <c r="C137" t="inlineStr">
        <is>
          <t>covered</t>
        </is>
      </c>
      <c r="D137" t="n">
        <v>52.4</v>
      </c>
      <c r="E137">
        <f>ROUNDUP(D137, 0)</f>
        <v/>
      </c>
      <c r="F137">
        <f>IF(LOWER(C137)="covered", 10.40, 7.55)</f>
        <v/>
      </c>
      <c r="G137">
        <f>E137*F137</f>
        <v/>
      </c>
      <c r="H137" t="n">
        <v>551.2</v>
      </c>
      <c r="I137">
        <f>G137-H137</f>
        <v/>
      </c>
    </row>
    <row r="138">
      <c r="A138" t="inlineStr">
        <is>
          <t>LP-0705</t>
        </is>
      </c>
      <c r="B138" t="inlineStr">
        <is>
          <t>Ledgport</t>
        </is>
      </c>
      <c r="C138" t="inlineStr">
        <is>
          <t>covered</t>
        </is>
      </c>
      <c r="D138" t="n">
        <v>43.6</v>
      </c>
      <c r="E138">
        <f>ROUNDUP(D138, 0)</f>
        <v/>
      </c>
      <c r="F138">
        <f>IF(LOWER(C138)="covered", 10.40, 7.55)</f>
        <v/>
      </c>
      <c r="G138">
        <f>E138*F138</f>
        <v/>
      </c>
      <c r="H138" t="n">
        <v>457.6</v>
      </c>
      <c r="I138">
        <f>G138-H138</f>
        <v/>
      </c>
    </row>
    <row r="139">
      <c r="A139" t="inlineStr">
        <is>
          <t>LP-0706</t>
        </is>
      </c>
      <c r="B139" t="inlineStr">
        <is>
          <t>Ledgport</t>
        </is>
      </c>
      <c r="C139" t="inlineStr">
        <is>
          <t>covered</t>
        </is>
      </c>
      <c r="D139" t="n">
        <v>43.6</v>
      </c>
      <c r="E139">
        <f>ROUNDUP(D139, 0)</f>
        <v/>
      </c>
      <c r="F139">
        <f>IF(LOWER(C139)="covered", 10.40, 7.55)</f>
        <v/>
      </c>
      <c r="G139">
        <f>E139*F139</f>
        <v/>
      </c>
      <c r="H139" t="n">
        <v>457.6</v>
      </c>
      <c r="I139">
        <f>G139-H139</f>
        <v/>
      </c>
    </row>
    <row r="140">
      <c r="A140" t="inlineStr">
        <is>
          <t>LP-0707</t>
        </is>
      </c>
      <c r="B140" t="inlineStr">
        <is>
          <t>Ledgport</t>
        </is>
      </c>
      <c r="C140" t="inlineStr">
        <is>
          <t>covered</t>
        </is>
      </c>
      <c r="D140" t="n">
        <v>45.6</v>
      </c>
      <c r="E140">
        <f>ROUNDUP(D140, 0)</f>
        <v/>
      </c>
      <c r="F140">
        <f>IF(LOWER(C140)="covered", 10.40, 7.55)</f>
        <v/>
      </c>
      <c r="G140">
        <f>E140*F140</f>
        <v/>
      </c>
      <c r="H140" t="n">
        <v>478.4</v>
      </c>
      <c r="I140">
        <f>G140-H140</f>
        <v/>
      </c>
    </row>
    <row r="141">
      <c r="A141" t="inlineStr">
        <is>
          <t>LP-0708</t>
        </is>
      </c>
      <c r="B141" t="inlineStr">
        <is>
          <t>Ledgport</t>
        </is>
      </c>
      <c r="C141" t="inlineStr">
        <is>
          <t>covered</t>
        </is>
      </c>
      <c r="D141" t="n">
        <v>43.3</v>
      </c>
      <c r="E141">
        <f>ROUNDUP(D141, 0)</f>
        <v/>
      </c>
      <c r="F141">
        <f>IF(LOWER(C141)="covered", 10.40, 7.55)</f>
        <v/>
      </c>
      <c r="G141">
        <f>E141*F141</f>
        <v/>
      </c>
      <c r="H141" t="n">
        <v>457.6</v>
      </c>
      <c r="I141">
        <f>G141-H141</f>
        <v/>
      </c>
    </row>
    <row r="142">
      <c r="A142" t="inlineStr">
        <is>
          <t>LP-0709</t>
        </is>
      </c>
      <c r="B142" t="inlineStr">
        <is>
          <t>Ledgport</t>
        </is>
      </c>
      <c r="C142" t="inlineStr">
        <is>
          <t>covered</t>
        </is>
      </c>
      <c r="D142" t="n">
        <v>45.7</v>
      </c>
      <c r="E142">
        <f>ROUNDUP(D142, 0)</f>
        <v/>
      </c>
      <c r="F142">
        <f>IF(LOWER(C142)="covered", 10.40, 7.55)</f>
        <v/>
      </c>
      <c r="G142">
        <f>E142*F142</f>
        <v/>
      </c>
      <c r="H142" t="n">
        <v>478.4</v>
      </c>
      <c r="I142">
        <f>G142-H142</f>
        <v/>
      </c>
    </row>
    <row r="143">
      <c r="A143" t="inlineStr">
        <is>
          <t>LP-0710</t>
        </is>
      </c>
      <c r="B143" t="inlineStr">
        <is>
          <t>Ledgport</t>
        </is>
      </c>
      <c r="C143" t="inlineStr">
        <is>
          <t>covered</t>
        </is>
      </c>
      <c r="D143" t="n">
        <v>33.7</v>
      </c>
      <c r="E143">
        <f>ROUNDUP(D143, 0)</f>
        <v/>
      </c>
      <c r="F143">
        <f>IF(LOWER(C143)="covered", 10.40, 7.55)</f>
        <v/>
      </c>
      <c r="G143">
        <f>E143*F143</f>
        <v/>
      </c>
      <c r="H143" t="n">
        <v>353.6</v>
      </c>
      <c r="I143">
        <f>G143-H143</f>
        <v/>
      </c>
    </row>
    <row r="144">
      <c r="A144" t="inlineStr">
        <is>
          <t>LP-0711</t>
        </is>
      </c>
      <c r="B144" t="inlineStr">
        <is>
          <t>Ledgport</t>
        </is>
      </c>
      <c r="C144" t="inlineStr">
        <is>
          <t>covered</t>
        </is>
      </c>
      <c r="D144" t="n">
        <v>43.4</v>
      </c>
      <c r="E144">
        <f>ROUNDUP(D144, 0)</f>
        <v/>
      </c>
      <c r="F144">
        <f>IF(LOWER(C144)="covered", 10.40, 7.55)</f>
        <v/>
      </c>
      <c r="G144">
        <f>E144*F144</f>
        <v/>
      </c>
      <c r="H144" t="n">
        <v>457.6</v>
      </c>
      <c r="I144">
        <f>G144-H144</f>
        <v/>
      </c>
    </row>
    <row r="145">
      <c r="A145" t="inlineStr">
        <is>
          <t>LP-0712</t>
        </is>
      </c>
      <c r="B145" t="inlineStr">
        <is>
          <t>Ledgport</t>
        </is>
      </c>
      <c r="C145" t="inlineStr">
        <is>
          <t>covered</t>
        </is>
      </c>
      <c r="D145" t="n">
        <v>36.1</v>
      </c>
      <c r="E145">
        <f>ROUNDUP(D145, 0)</f>
        <v/>
      </c>
      <c r="F145">
        <f>IF(LOWER(C145)="covered", 10.40, 7.55)</f>
        <v/>
      </c>
      <c r="G145">
        <f>E145*F145</f>
        <v/>
      </c>
      <c r="H145" t="n">
        <v>384.8</v>
      </c>
      <c r="I145">
        <f>G145-H145</f>
        <v/>
      </c>
    </row>
    <row r="146">
      <c r="A146" t="inlineStr">
        <is>
          <t>LP-0713</t>
        </is>
      </c>
      <c r="B146" t="inlineStr">
        <is>
          <t>Ledgport</t>
        </is>
      </c>
      <c r="C146" t="inlineStr">
        <is>
          <t>covered</t>
        </is>
      </c>
      <c r="D146" t="n">
        <v>39.1</v>
      </c>
      <c r="E146">
        <f>ROUNDUP(D146, 0)</f>
        <v/>
      </c>
      <c r="F146">
        <f>IF(LOWER(C146)="covered", 10.40, 7.55)</f>
        <v/>
      </c>
      <c r="G146">
        <f>E146*F146</f>
        <v/>
      </c>
      <c r="H146" t="n">
        <v>416</v>
      </c>
      <c r="I146">
        <f>G146-H146</f>
        <v/>
      </c>
    </row>
    <row r="147">
      <c r="A147" t="inlineStr">
        <is>
          <t>LP-0714</t>
        </is>
      </c>
      <c r="B147" t="inlineStr">
        <is>
          <t>Ledgport</t>
        </is>
      </c>
      <c r="C147" t="inlineStr">
        <is>
          <t>covered</t>
        </is>
      </c>
      <c r="D147" t="n">
        <v>31.9</v>
      </c>
      <c r="E147">
        <f>ROUNDUP(D147, 0)</f>
        <v/>
      </c>
      <c r="F147">
        <f>IF(LOWER(C147)="covered", 10.40, 7.55)</f>
        <v/>
      </c>
      <c r="G147">
        <f>E147*F147</f>
        <v/>
      </c>
      <c r="H147" t="n">
        <v>332.8</v>
      </c>
      <c r="I147">
        <f>G147-H147</f>
        <v/>
      </c>
    </row>
    <row r="148">
      <c r="A148" t="inlineStr">
        <is>
          <t>LP-0715</t>
        </is>
      </c>
      <c r="B148" t="inlineStr">
        <is>
          <t>Ledgport</t>
        </is>
      </c>
      <c r="C148" t="inlineStr">
        <is>
          <t>covered</t>
        </is>
      </c>
      <c r="D148" t="n">
        <v>55.9</v>
      </c>
      <c r="E148">
        <f>ROUNDUP(D148, 0)</f>
        <v/>
      </c>
      <c r="F148">
        <f>IF(LOWER(C148)="covered", 10.40, 7.55)</f>
        <v/>
      </c>
      <c r="G148">
        <f>E148*F148</f>
        <v/>
      </c>
      <c r="H148" t="n">
        <v>582.4</v>
      </c>
      <c r="I148">
        <f>G148-H148</f>
        <v/>
      </c>
    </row>
    <row r="149">
      <c r="A149" t="inlineStr">
        <is>
          <t>LP-0716</t>
        </is>
      </c>
      <c r="B149" t="inlineStr">
        <is>
          <t>Ledgport</t>
        </is>
      </c>
      <c r="C149" t="inlineStr">
        <is>
          <t>covered</t>
        </is>
      </c>
      <c r="D149" t="n">
        <v>40.5</v>
      </c>
      <c r="E149">
        <f>ROUNDUP(D149, 0)</f>
        <v/>
      </c>
      <c r="F149">
        <f>IF(LOWER(C149)="covered", 10.40, 7.55)</f>
        <v/>
      </c>
      <c r="G149">
        <f>E149*F149</f>
        <v/>
      </c>
      <c r="H149" t="n">
        <v>426.4</v>
      </c>
      <c r="I149">
        <f>G149-H149</f>
        <v/>
      </c>
    </row>
    <row r="150">
      <c r="A150" t="inlineStr">
        <is>
          <t>LP-0717</t>
        </is>
      </c>
      <c r="B150" t="inlineStr">
        <is>
          <t>Ledgport</t>
        </is>
      </c>
      <c r="C150" t="inlineStr">
        <is>
          <t>covered</t>
        </is>
      </c>
      <c r="D150" t="n">
        <v>55.2</v>
      </c>
      <c r="E150">
        <f>ROUNDUP(D150, 0)</f>
        <v/>
      </c>
      <c r="F150">
        <f>IF(LOWER(C150)="covered", 10.40, 7.55)</f>
        <v/>
      </c>
      <c r="G150">
        <f>E150*F150</f>
        <v/>
      </c>
      <c r="H150" t="n">
        <v>582.4</v>
      </c>
      <c r="I150">
        <f>G150-H150</f>
        <v/>
      </c>
    </row>
    <row r="151">
      <c r="A151" t="inlineStr">
        <is>
          <t>LP-0718</t>
        </is>
      </c>
      <c r="B151" t="inlineStr">
        <is>
          <t>Ledgport</t>
        </is>
      </c>
      <c r="C151" t="inlineStr">
        <is>
          <t>covered</t>
        </is>
      </c>
      <c r="D151" t="n">
        <v>25.4</v>
      </c>
      <c r="E151">
        <f>ROUNDUP(D151, 0)</f>
        <v/>
      </c>
      <c r="F151">
        <f>IF(LOWER(C151)="covered", 10.40, 7.55)</f>
        <v/>
      </c>
      <c r="G151">
        <f>E151*F151</f>
        <v/>
      </c>
      <c r="H151" t="n">
        <v>332.8</v>
      </c>
      <c r="I151">
        <f>G151-H151</f>
        <v/>
      </c>
    </row>
    <row r="152">
      <c r="A152" t="inlineStr">
        <is>
          <t>LP-0719</t>
        </is>
      </c>
      <c r="B152" t="inlineStr">
        <is>
          <t>Ledgport</t>
        </is>
      </c>
      <c r="C152" t="inlineStr">
        <is>
          <t>covered</t>
        </is>
      </c>
      <c r="D152" t="n">
        <v>32.7</v>
      </c>
      <c r="E152">
        <f>ROUNDUP(D152, 0)</f>
        <v/>
      </c>
      <c r="F152">
        <f>IF(LOWER(C152)="covered", 10.40, 7.55)</f>
        <v/>
      </c>
      <c r="G152">
        <f>E152*F152</f>
        <v/>
      </c>
      <c r="H152" t="n">
        <v>343.2</v>
      </c>
      <c r="I152">
        <f>G152-H152</f>
        <v/>
      </c>
    </row>
    <row r="153">
      <c r="A153" t="inlineStr">
        <is>
          <t>LP-0720</t>
        </is>
      </c>
      <c r="B153" t="inlineStr">
        <is>
          <t>Ledgport</t>
        </is>
      </c>
      <c r="C153" t="inlineStr">
        <is>
          <t>covered</t>
        </is>
      </c>
      <c r="D153" t="n">
        <v>53.5</v>
      </c>
      <c r="E153">
        <f>ROUNDUP(D153, 0)</f>
        <v/>
      </c>
      <c r="F153">
        <f>IF(LOWER(C153)="covered", 10.40, 7.55)</f>
        <v/>
      </c>
      <c r="G153">
        <f>E153*F153</f>
        <v/>
      </c>
      <c r="H153" t="n">
        <v>561.6</v>
      </c>
      <c r="I153">
        <f>G153-H153</f>
        <v/>
      </c>
    </row>
    <row r="154">
      <c r="A154" t="inlineStr">
        <is>
          <t>LP-0722</t>
        </is>
      </c>
      <c r="B154" t="inlineStr">
        <is>
          <t>Ledgport</t>
        </is>
      </c>
      <c r="C154" t="inlineStr">
        <is>
          <t>covered</t>
        </is>
      </c>
      <c r="D154" t="n">
        <v>59.7</v>
      </c>
      <c r="E154">
        <f>ROUNDUP(D154, 0)</f>
        <v/>
      </c>
      <c r="F154">
        <f>IF(LOWER(C154)="covered", 10.40, 7.55)</f>
        <v/>
      </c>
      <c r="G154">
        <f>E154*F154</f>
        <v/>
      </c>
      <c r="H154" t="n">
        <v>624</v>
      </c>
      <c r="I154">
        <f>G154-H154</f>
        <v/>
      </c>
    </row>
    <row r="155">
      <c r="A155" t="inlineStr">
        <is>
          <t>LP-0723</t>
        </is>
      </c>
      <c r="B155" t="inlineStr">
        <is>
          <t>Ledgport</t>
        </is>
      </c>
      <c r="C155" t="inlineStr">
        <is>
          <t>covered</t>
        </is>
      </c>
      <c r="D155" t="n">
        <v>37.7</v>
      </c>
      <c r="E155">
        <f>ROUNDUP(D155, 0)</f>
        <v/>
      </c>
      <c r="F155">
        <f>IF(LOWER(C155)="covered", 10.40, 7.55)</f>
        <v/>
      </c>
      <c r="G155">
        <f>E155*F155</f>
        <v/>
      </c>
      <c r="H155" t="n">
        <v>395.2</v>
      </c>
      <c r="I155">
        <f>G155-H155</f>
        <v/>
      </c>
    </row>
    <row r="156">
      <c r="A156" t="inlineStr">
        <is>
          <t>LP-0724</t>
        </is>
      </c>
      <c r="B156" t="inlineStr">
        <is>
          <t>Ledgport</t>
        </is>
      </c>
      <c r="C156" t="inlineStr">
        <is>
          <t>covered</t>
        </is>
      </c>
      <c r="D156" t="n">
        <v>56.3</v>
      </c>
      <c r="E156">
        <f>ROUNDUP(D156, 0)</f>
        <v/>
      </c>
      <c r="F156">
        <f>IF(LOWER(C156)="covered", 10.40, 7.55)</f>
        <v/>
      </c>
      <c r="G156">
        <f>E156*F156</f>
        <v/>
      </c>
      <c r="H156" t="n">
        <v>592.8</v>
      </c>
      <c r="I156">
        <f>G156-H156</f>
        <v/>
      </c>
    </row>
    <row r="157">
      <c r="A157" t="inlineStr">
        <is>
          <t>LP-0801</t>
        </is>
      </c>
      <c r="B157" t="inlineStr">
        <is>
          <t>Ledgport</t>
        </is>
      </c>
      <c r="C157" t="inlineStr">
        <is>
          <t>covered</t>
        </is>
      </c>
      <c r="D157" t="n">
        <v>46.1</v>
      </c>
      <c r="E157">
        <f>ROUNDUP(D157, 0)</f>
        <v/>
      </c>
      <c r="F157">
        <f>IF(LOWER(C157)="covered", 10.40, 7.55)</f>
        <v/>
      </c>
      <c r="G157">
        <f>E157*F157</f>
        <v/>
      </c>
      <c r="H157" t="n">
        <v>488.8</v>
      </c>
      <c r="I157">
        <f>G157-H157</f>
        <v/>
      </c>
    </row>
    <row r="158">
      <c r="A158" t="inlineStr">
        <is>
          <t>LP-0802</t>
        </is>
      </c>
      <c r="B158" t="inlineStr">
        <is>
          <t>Ledgport</t>
        </is>
      </c>
      <c r="C158" t="inlineStr">
        <is>
          <t>covered</t>
        </is>
      </c>
      <c r="D158" t="n">
        <v>35.1</v>
      </c>
      <c r="E158">
        <f>ROUNDUP(D158, 0)</f>
        <v/>
      </c>
      <c r="F158">
        <f>IF(LOWER(C158)="covered", 10.40, 7.55)</f>
        <v/>
      </c>
      <c r="G158">
        <f>E158*F158</f>
        <v/>
      </c>
      <c r="H158" t="n">
        <v>416</v>
      </c>
      <c r="I158">
        <f>G158-H158</f>
        <v/>
      </c>
    </row>
    <row r="159">
      <c r="A159" t="inlineStr">
        <is>
          <t>LP-0803</t>
        </is>
      </c>
      <c r="B159" t="inlineStr">
        <is>
          <t>Ledgport</t>
        </is>
      </c>
      <c r="C159" t="inlineStr">
        <is>
          <t>covered</t>
        </is>
      </c>
      <c r="D159" t="n">
        <v>47.8</v>
      </c>
      <c r="E159">
        <f>ROUNDUP(D159, 0)</f>
        <v/>
      </c>
      <c r="F159">
        <f>IF(LOWER(C159)="covered", 10.40, 7.55)</f>
        <v/>
      </c>
      <c r="G159">
        <f>E159*F159</f>
        <v/>
      </c>
      <c r="H159" t="n">
        <v>499.2</v>
      </c>
      <c r="I159">
        <f>G159-H159</f>
        <v/>
      </c>
    </row>
    <row r="160">
      <c r="A160" t="inlineStr">
        <is>
          <t>LP-0805</t>
        </is>
      </c>
      <c r="B160" t="inlineStr">
        <is>
          <t>Ledgport</t>
        </is>
      </c>
      <c r="C160" t="inlineStr">
        <is>
          <t>covered</t>
        </is>
      </c>
      <c r="D160" t="n">
        <v>39.6</v>
      </c>
      <c r="E160">
        <f>ROUNDUP(D160, 0)</f>
        <v/>
      </c>
      <c r="F160">
        <f>IF(LOWER(C160)="covered", 10.40, 7.55)</f>
        <v/>
      </c>
      <c r="G160">
        <f>E160*F160</f>
        <v/>
      </c>
      <c r="H160" t="n">
        <v>416</v>
      </c>
      <c r="I160">
        <f>G160-H160</f>
        <v/>
      </c>
    </row>
    <row r="161">
      <c r="A161" t="inlineStr">
        <is>
          <t>LP-0806</t>
        </is>
      </c>
      <c r="B161" t="inlineStr">
        <is>
          <t>Ledgport</t>
        </is>
      </c>
      <c r="C161" t="inlineStr">
        <is>
          <t>covered</t>
        </is>
      </c>
      <c r="D161" t="n">
        <v>55.1</v>
      </c>
      <c r="E161">
        <f>ROUNDUP(D161, 0)</f>
        <v/>
      </c>
      <c r="F161">
        <f>IF(LOWER(C161)="covered", 10.40, 7.55)</f>
        <v/>
      </c>
      <c r="G161">
        <f>E161*F161</f>
        <v/>
      </c>
      <c r="H161" t="n">
        <v>582.4</v>
      </c>
      <c r="I161">
        <f>G161-H161</f>
        <v/>
      </c>
    </row>
    <row r="162">
      <c r="A162" t="inlineStr">
        <is>
          <t>LP-0807</t>
        </is>
      </c>
      <c r="B162" t="inlineStr">
        <is>
          <t>Ledgport</t>
        </is>
      </c>
      <c r="C162" t="inlineStr">
        <is>
          <t>covered</t>
        </is>
      </c>
      <c r="D162" t="n">
        <v>40.6</v>
      </c>
      <c r="E162">
        <f>ROUNDUP(D162, 0)</f>
        <v/>
      </c>
      <c r="F162">
        <f>IF(LOWER(C162)="covered", 10.40, 7.55)</f>
        <v/>
      </c>
      <c r="G162">
        <f>E162*F162</f>
        <v/>
      </c>
      <c r="H162" t="n">
        <v>426.4</v>
      </c>
      <c r="I162">
        <f>G162-H162</f>
        <v/>
      </c>
    </row>
    <row r="163">
      <c r="A163" t="inlineStr">
        <is>
          <t>LP-0808</t>
        </is>
      </c>
      <c r="B163" t="inlineStr">
        <is>
          <t>Ledgport</t>
        </is>
      </c>
      <c r="C163" t="inlineStr">
        <is>
          <t>covered</t>
        </is>
      </c>
      <c r="D163" t="n">
        <v>42.3</v>
      </c>
      <c r="E163">
        <f>ROUNDUP(D163, 0)</f>
        <v/>
      </c>
      <c r="F163">
        <f>IF(LOWER(C163)="covered", 10.40, 7.55)</f>
        <v/>
      </c>
      <c r="G163">
        <f>E163*F163</f>
        <v/>
      </c>
      <c r="H163" t="n">
        <v>447.2</v>
      </c>
      <c r="I163">
        <f>G163-H163</f>
        <v/>
      </c>
    </row>
    <row r="164">
      <c r="A164" t="inlineStr">
        <is>
          <t>LP-0809</t>
        </is>
      </c>
      <c r="B164" t="inlineStr">
        <is>
          <t>Ledgport</t>
        </is>
      </c>
      <c r="C164" t="inlineStr">
        <is>
          <t>covered</t>
        </is>
      </c>
      <c r="D164" t="n">
        <v>34.3</v>
      </c>
      <c r="E164">
        <f>ROUNDUP(D164, 0)</f>
        <v/>
      </c>
      <c r="F164">
        <f>IF(LOWER(C164)="covered", 10.40, 7.55)</f>
        <v/>
      </c>
      <c r="G164">
        <f>E164*F164</f>
        <v/>
      </c>
      <c r="H164" t="n">
        <v>364</v>
      </c>
      <c r="I164">
        <f>G164-H164</f>
        <v/>
      </c>
    </row>
    <row r="165">
      <c r="A165" t="inlineStr">
        <is>
          <t>LP-0811</t>
        </is>
      </c>
      <c r="B165" t="inlineStr">
        <is>
          <t>Ledgport</t>
        </is>
      </c>
      <c r="C165" t="inlineStr">
        <is>
          <t>covered</t>
        </is>
      </c>
      <c r="D165" t="n">
        <v>51.3</v>
      </c>
      <c r="E165">
        <f>ROUNDUP(D165, 0)</f>
        <v/>
      </c>
      <c r="F165">
        <f>IF(LOWER(C165)="covered", 10.40, 7.55)</f>
        <v/>
      </c>
      <c r="G165">
        <f>E165*F165</f>
        <v/>
      </c>
      <c r="H165" t="n">
        <v>540.8</v>
      </c>
      <c r="I165">
        <f>G165-H165</f>
        <v/>
      </c>
    </row>
    <row r="166">
      <c r="A166" t="inlineStr">
        <is>
          <t>LP-0812</t>
        </is>
      </c>
      <c r="B166" t="inlineStr">
        <is>
          <t>Ledgport</t>
        </is>
      </c>
      <c r="C166" t="inlineStr">
        <is>
          <t>covered</t>
        </is>
      </c>
      <c r="D166" t="n">
        <v>25.6</v>
      </c>
      <c r="E166">
        <f>ROUNDUP(D166, 0)</f>
        <v/>
      </c>
      <c r="F166">
        <f>IF(LOWER(C166)="covered", 10.40, 7.55)</f>
        <v/>
      </c>
      <c r="G166">
        <f>E166*F166</f>
        <v/>
      </c>
      <c r="H166" t="n">
        <v>291.2</v>
      </c>
      <c r="I166">
        <f>G166-H166</f>
        <v/>
      </c>
    </row>
    <row r="167">
      <c r="A167" t="inlineStr">
        <is>
          <t>LP-0813</t>
        </is>
      </c>
      <c r="B167" t="inlineStr">
        <is>
          <t>Ledgport</t>
        </is>
      </c>
      <c r="C167" t="inlineStr">
        <is>
          <t>covered</t>
        </is>
      </c>
      <c r="D167" t="n">
        <v>37.5</v>
      </c>
      <c r="E167">
        <f>ROUNDUP(D167, 0)</f>
        <v/>
      </c>
      <c r="F167">
        <f>IF(LOWER(C167)="covered", 10.40, 7.55)</f>
        <v/>
      </c>
      <c r="G167">
        <f>E167*F167</f>
        <v/>
      </c>
      <c r="H167" t="n">
        <v>395.2</v>
      </c>
      <c r="I167">
        <f>G167-H167</f>
        <v/>
      </c>
    </row>
    <row r="168">
      <c r="A168" t="inlineStr">
        <is>
          <t>LP-0814</t>
        </is>
      </c>
      <c r="B168" t="inlineStr">
        <is>
          <t>Ledgport</t>
        </is>
      </c>
      <c r="C168" t="inlineStr">
        <is>
          <t>covered</t>
        </is>
      </c>
      <c r="D168" t="n">
        <v>34.5</v>
      </c>
      <c r="E168">
        <f>ROUNDUP(D168, 0)</f>
        <v/>
      </c>
      <c r="F168">
        <f>IF(LOWER(C168)="covered", 10.40, 7.55)</f>
        <v/>
      </c>
      <c r="G168">
        <f>E168*F168</f>
        <v/>
      </c>
      <c r="H168" t="n">
        <v>364</v>
      </c>
      <c r="I168">
        <f>G168-H168</f>
        <v/>
      </c>
    </row>
    <row r="169">
      <c r="A169" t="inlineStr">
        <is>
          <t>LP-0815</t>
        </is>
      </c>
      <c r="B169" t="inlineStr">
        <is>
          <t>Ledgport</t>
        </is>
      </c>
      <c r="C169" t="inlineStr">
        <is>
          <t>covered</t>
        </is>
      </c>
      <c r="D169" t="n">
        <v>49.8</v>
      </c>
      <c r="E169">
        <f>ROUNDUP(D169, 0)</f>
        <v/>
      </c>
      <c r="F169">
        <f>IF(LOWER(C169)="covered", 10.40, 7.55)</f>
        <v/>
      </c>
      <c r="G169">
        <f>E169*F169</f>
        <v/>
      </c>
      <c r="H169" t="n">
        <v>520</v>
      </c>
      <c r="I169">
        <f>G169-H169</f>
        <v/>
      </c>
    </row>
    <row r="170">
      <c r="A170" t="inlineStr">
        <is>
          <t>LP-0816</t>
        </is>
      </c>
      <c r="B170" t="inlineStr">
        <is>
          <t>Ledgport</t>
        </is>
      </c>
      <c r="C170" t="inlineStr">
        <is>
          <t>covered</t>
        </is>
      </c>
      <c r="D170" t="n">
        <v>47.4</v>
      </c>
      <c r="E170">
        <f>ROUNDUP(D170, 0)</f>
        <v/>
      </c>
      <c r="F170">
        <f>IF(LOWER(C170)="covered", 10.40, 7.55)</f>
        <v/>
      </c>
      <c r="G170">
        <f>E170*F170</f>
        <v/>
      </c>
      <c r="H170" t="n">
        <v>499.2</v>
      </c>
      <c r="I170">
        <f>G170-H170</f>
        <v/>
      </c>
    </row>
    <row r="171">
      <c r="A171" t="inlineStr">
        <is>
          <t>LP-0817</t>
        </is>
      </c>
      <c r="B171" t="inlineStr">
        <is>
          <t>Ledgport</t>
        </is>
      </c>
      <c r="C171" t="inlineStr">
        <is>
          <t>covered</t>
        </is>
      </c>
      <c r="D171" t="n">
        <v>22.2</v>
      </c>
      <c r="E171">
        <f>ROUNDUP(D171, 0)</f>
        <v/>
      </c>
      <c r="F171">
        <f>IF(LOWER(C171)="covered", 10.40, 7.55)</f>
        <v/>
      </c>
      <c r="G171">
        <f>E171*F171</f>
        <v/>
      </c>
      <c r="H171" t="n">
        <v>332.8</v>
      </c>
      <c r="I171">
        <f>G171-H171</f>
        <v/>
      </c>
    </row>
    <row r="172">
      <c r="A172" t="inlineStr">
        <is>
          <t>LP-0818</t>
        </is>
      </c>
      <c r="B172" t="inlineStr">
        <is>
          <t>Ledgport</t>
        </is>
      </c>
      <c r="C172" t="inlineStr">
        <is>
          <t>covered</t>
        </is>
      </c>
      <c r="D172" t="n">
        <v>60.9</v>
      </c>
      <c r="E172">
        <f>ROUNDUP(D172, 0)</f>
        <v/>
      </c>
      <c r="F172">
        <f>IF(LOWER(C172)="covered", 10.40, 7.55)</f>
        <v/>
      </c>
      <c r="G172">
        <f>E172*F172</f>
        <v/>
      </c>
      <c r="H172" t="n">
        <v>634.4</v>
      </c>
      <c r="I172">
        <f>G172-H172</f>
        <v/>
      </c>
    </row>
    <row r="173">
      <c r="A173" t="inlineStr">
        <is>
          <t>LP-0819</t>
        </is>
      </c>
      <c r="B173" t="inlineStr">
        <is>
          <t>Ledgport</t>
        </is>
      </c>
      <c r="C173" t="inlineStr">
        <is>
          <t>covered</t>
        </is>
      </c>
      <c r="D173" t="n">
        <v>19.1</v>
      </c>
      <c r="E173">
        <f>ROUNDUP(D173, 0)</f>
        <v/>
      </c>
      <c r="F173">
        <f>IF(LOWER(C173)="covered", 10.40, 7.55)</f>
        <v/>
      </c>
      <c r="G173">
        <f>E173*F173</f>
        <v/>
      </c>
      <c r="H173" t="n">
        <v>332.8</v>
      </c>
      <c r="I173">
        <f>G173-H173</f>
        <v/>
      </c>
    </row>
    <row r="174">
      <c r="A174" t="inlineStr">
        <is>
          <t>LP-0820</t>
        </is>
      </c>
      <c r="B174" t="inlineStr">
        <is>
          <t>Ledgport</t>
        </is>
      </c>
      <c r="C174" t="inlineStr">
        <is>
          <t>covered</t>
        </is>
      </c>
      <c r="D174" t="n">
        <v>43.9</v>
      </c>
      <c r="E174">
        <f>ROUNDUP(D174, 0)</f>
        <v/>
      </c>
      <c r="F174">
        <f>IF(LOWER(C174)="covered", 10.40, 7.55)</f>
        <v/>
      </c>
      <c r="G174">
        <f>E174*F174</f>
        <v/>
      </c>
      <c r="H174" t="n">
        <v>457.6</v>
      </c>
      <c r="I174">
        <f>G174-H174</f>
        <v/>
      </c>
    </row>
    <row r="175">
      <c r="A175" t="inlineStr">
        <is>
          <t>LP-0821</t>
        </is>
      </c>
      <c r="B175" t="inlineStr">
        <is>
          <t>Ledgport</t>
        </is>
      </c>
      <c r="C175" t="inlineStr">
        <is>
          <t>covered</t>
        </is>
      </c>
      <c r="D175" t="n">
        <v>53.2</v>
      </c>
      <c r="E175">
        <f>ROUNDUP(D175, 0)</f>
        <v/>
      </c>
      <c r="F175">
        <f>IF(LOWER(C175)="covered", 10.40, 7.55)</f>
        <v/>
      </c>
      <c r="G175">
        <f>E175*F175</f>
        <v/>
      </c>
      <c r="H175" t="n">
        <v>561.6</v>
      </c>
      <c r="I175">
        <f>G175-H175</f>
        <v/>
      </c>
    </row>
    <row r="176">
      <c r="A176" t="inlineStr">
        <is>
          <t>LP-0822</t>
        </is>
      </c>
      <c r="B176" t="inlineStr">
        <is>
          <t>Ledgport</t>
        </is>
      </c>
      <c r="C176" t="inlineStr">
        <is>
          <t>covered</t>
        </is>
      </c>
      <c r="D176" t="n">
        <v>60.7</v>
      </c>
      <c r="E176">
        <f>ROUNDUP(D176, 0)</f>
        <v/>
      </c>
      <c r="F176">
        <f>IF(LOWER(C176)="covered", 10.40, 7.55)</f>
        <v/>
      </c>
      <c r="G176">
        <f>E176*F176</f>
        <v/>
      </c>
      <c r="H176" t="n">
        <v>634.4</v>
      </c>
      <c r="I176">
        <f>G176-H176</f>
        <v/>
      </c>
    </row>
    <row r="177">
      <c r="A177" t="inlineStr">
        <is>
          <t>LP-0823</t>
        </is>
      </c>
      <c r="B177" t="inlineStr">
        <is>
          <t>Ledgport</t>
        </is>
      </c>
      <c r="C177" t="inlineStr">
        <is>
          <t>covered</t>
        </is>
      </c>
      <c r="D177" t="n">
        <v>42.5</v>
      </c>
      <c r="E177">
        <f>ROUNDUP(D177, 0)</f>
        <v/>
      </c>
      <c r="F177">
        <f>IF(LOWER(C177)="covered", 10.40, 7.55)</f>
        <v/>
      </c>
      <c r="G177">
        <f>E177*F177</f>
        <v/>
      </c>
      <c r="H177" t="n">
        <v>447.2</v>
      </c>
      <c r="I177">
        <f>G177-H177</f>
        <v/>
      </c>
    </row>
    <row r="178">
      <c r="A178" t="inlineStr">
        <is>
          <t>LP-0824</t>
        </is>
      </c>
      <c r="B178" t="inlineStr">
        <is>
          <t>Ledgport</t>
        </is>
      </c>
      <c r="C178" t="inlineStr">
        <is>
          <t>covered</t>
        </is>
      </c>
      <c r="D178" t="n">
        <v>48.1</v>
      </c>
      <c r="E178">
        <f>ROUNDUP(D178, 0)</f>
        <v/>
      </c>
      <c r="F178">
        <f>IF(LOWER(C178)="covered", 10.40, 7.55)</f>
        <v/>
      </c>
      <c r="G178">
        <f>E178*F178</f>
        <v/>
      </c>
      <c r="H178" t="n">
        <v>509.6</v>
      </c>
      <c r="I178">
        <f>G178-H178</f>
        <v/>
      </c>
    </row>
    <row r="179">
      <c r="A179" t="inlineStr">
        <is>
          <t>LP-0901</t>
        </is>
      </c>
      <c r="B179" t="inlineStr">
        <is>
          <t>Ledgport</t>
        </is>
      </c>
      <c r="C179" t="inlineStr">
        <is>
          <t>covered</t>
        </is>
      </c>
      <c r="D179" t="n">
        <v>24.3</v>
      </c>
      <c r="E179">
        <f>ROUNDUP(D179, 0)</f>
        <v/>
      </c>
      <c r="F179">
        <f>IF(LOWER(C179)="covered", 10.40, 7.55)</f>
        <v/>
      </c>
      <c r="G179">
        <f>E179*F179</f>
        <v/>
      </c>
      <c r="H179" t="n">
        <v>416</v>
      </c>
      <c r="I179">
        <f>G179-H179</f>
        <v/>
      </c>
    </row>
    <row r="180">
      <c r="A180" t="inlineStr">
        <is>
          <t>LP-0902</t>
        </is>
      </c>
      <c r="B180" t="inlineStr">
        <is>
          <t>Ledgport</t>
        </is>
      </c>
      <c r="C180" t="inlineStr">
        <is>
          <t>covered</t>
        </is>
      </c>
      <c r="D180" t="n">
        <v>57.6</v>
      </c>
      <c r="E180">
        <f>ROUNDUP(D180, 0)</f>
        <v/>
      </c>
      <c r="F180">
        <f>IF(LOWER(C180)="covered", 10.40, 7.55)</f>
        <v/>
      </c>
      <c r="G180">
        <f>E180*F180</f>
        <v/>
      </c>
      <c r="H180" t="n">
        <v>603.2</v>
      </c>
      <c r="I180">
        <f>G180-H180</f>
        <v/>
      </c>
    </row>
    <row r="181">
      <c r="A181" t="inlineStr">
        <is>
          <t>LP-0903</t>
        </is>
      </c>
      <c r="B181" t="inlineStr">
        <is>
          <t>Ledgport</t>
        </is>
      </c>
      <c r="C181" t="inlineStr">
        <is>
          <t>covered</t>
        </is>
      </c>
      <c r="D181" t="n">
        <v>20.2</v>
      </c>
      <c r="E181">
        <f>ROUNDUP(D181, 0)</f>
        <v/>
      </c>
      <c r="F181">
        <f>IF(LOWER(C181)="covered", 10.40, 7.55)</f>
        <v/>
      </c>
      <c r="G181">
        <f>E181*F181</f>
        <v/>
      </c>
      <c r="H181" t="n">
        <v>374.4</v>
      </c>
      <c r="I181">
        <f>G181-H181</f>
        <v/>
      </c>
    </row>
    <row r="182">
      <c r="A182" t="inlineStr">
        <is>
          <t>LP-0904</t>
        </is>
      </c>
      <c r="B182" t="inlineStr">
        <is>
          <t>Ledgport</t>
        </is>
      </c>
      <c r="C182" t="inlineStr">
        <is>
          <t>covered</t>
        </is>
      </c>
      <c r="D182" t="n">
        <v>61.6</v>
      </c>
      <c r="E182">
        <f>ROUNDUP(D182, 0)</f>
        <v/>
      </c>
      <c r="F182">
        <f>IF(LOWER(C182)="covered", 10.40, 7.55)</f>
        <v/>
      </c>
      <c r="G182">
        <f>E182*F182</f>
        <v/>
      </c>
      <c r="H182" t="n">
        <v>644.8</v>
      </c>
      <c r="I182">
        <f>G182-H182</f>
        <v/>
      </c>
    </row>
    <row r="183">
      <c r="A183" t="inlineStr">
        <is>
          <t>LP-0905</t>
        </is>
      </c>
      <c r="B183" t="inlineStr">
        <is>
          <t>Ledgport</t>
        </is>
      </c>
      <c r="C183" t="inlineStr">
        <is>
          <t>covered</t>
        </is>
      </c>
      <c r="D183" t="n">
        <v>53.6</v>
      </c>
      <c r="E183">
        <f>ROUNDUP(D183, 0)</f>
        <v/>
      </c>
      <c r="F183">
        <f>IF(LOWER(C183)="covered", 10.40, 7.55)</f>
        <v/>
      </c>
      <c r="G183">
        <f>E183*F183</f>
        <v/>
      </c>
      <c r="H183" t="n">
        <v>561.6</v>
      </c>
      <c r="I183">
        <f>G183-H183</f>
        <v/>
      </c>
    </row>
    <row r="184">
      <c r="A184" t="inlineStr">
        <is>
          <t>LP-0906</t>
        </is>
      </c>
      <c r="B184" t="inlineStr">
        <is>
          <t>Ledgport</t>
        </is>
      </c>
      <c r="C184" t="inlineStr">
        <is>
          <t>covered</t>
        </is>
      </c>
      <c r="D184" t="n">
        <v>57.3</v>
      </c>
      <c r="E184">
        <f>ROUNDUP(D184, 0)</f>
        <v/>
      </c>
      <c r="F184">
        <f>IF(LOWER(C184)="covered", 10.40, 7.55)</f>
        <v/>
      </c>
      <c r="G184">
        <f>E184*F184</f>
        <v/>
      </c>
      <c r="H184" t="n">
        <v>603.2</v>
      </c>
      <c r="I184">
        <f>G184-H184</f>
        <v/>
      </c>
    </row>
    <row r="185">
      <c r="A185" t="inlineStr">
        <is>
          <t>LP-0907</t>
        </is>
      </c>
      <c r="B185" t="inlineStr">
        <is>
          <t>Ledgport</t>
        </is>
      </c>
      <c r="C185" t="inlineStr">
        <is>
          <t>covered</t>
        </is>
      </c>
      <c r="D185" t="n">
        <v>45.7</v>
      </c>
      <c r="E185">
        <f>ROUNDUP(D185, 0)</f>
        <v/>
      </c>
      <c r="F185">
        <f>IF(LOWER(C185)="covered", 10.40, 7.55)</f>
        <v/>
      </c>
      <c r="G185">
        <f>E185*F185</f>
        <v/>
      </c>
      <c r="H185" t="n">
        <v>478.4</v>
      </c>
      <c r="I185">
        <f>G185-H185</f>
        <v/>
      </c>
    </row>
    <row r="186">
      <c r="A186" t="inlineStr">
        <is>
          <t>LP-0908</t>
        </is>
      </c>
      <c r="B186" t="inlineStr">
        <is>
          <t>Ledgport</t>
        </is>
      </c>
      <c r="C186" t="inlineStr">
        <is>
          <t>covered</t>
        </is>
      </c>
      <c r="D186" t="n">
        <v>49.9</v>
      </c>
      <c r="E186">
        <f>ROUNDUP(D186, 0)</f>
        <v/>
      </c>
      <c r="F186">
        <f>IF(LOWER(C186)="covered", 10.40, 7.55)</f>
        <v/>
      </c>
      <c r="G186">
        <f>E186*F186</f>
        <v/>
      </c>
      <c r="H186" t="n">
        <v>520</v>
      </c>
      <c r="I186">
        <f>G186-H186</f>
        <v/>
      </c>
    </row>
    <row r="187">
      <c r="A187" t="inlineStr">
        <is>
          <t>LP-0909</t>
        </is>
      </c>
      <c r="B187" t="inlineStr">
        <is>
          <t>Ledgport</t>
        </is>
      </c>
      <c r="C187" t="inlineStr">
        <is>
          <t>covered</t>
        </is>
      </c>
      <c r="D187" t="n">
        <v>46.7</v>
      </c>
      <c r="E187">
        <f>ROUNDUP(D187, 0)</f>
        <v/>
      </c>
      <c r="F187">
        <f>IF(LOWER(C187)="covered", 10.40, 7.55)</f>
        <v/>
      </c>
      <c r="G187">
        <f>E187*F187</f>
        <v/>
      </c>
      <c r="H187" t="n">
        <v>488.8</v>
      </c>
      <c r="I187">
        <f>G187-H187</f>
        <v/>
      </c>
    </row>
    <row r="188">
      <c r="A188" t="inlineStr">
        <is>
          <t>LP-0910</t>
        </is>
      </c>
      <c r="B188" t="inlineStr">
        <is>
          <t>Ledgport</t>
        </is>
      </c>
      <c r="C188" t="inlineStr">
        <is>
          <t>covered</t>
        </is>
      </c>
      <c r="D188" t="n">
        <v>38</v>
      </c>
      <c r="E188">
        <f>ROUNDUP(D188, 0)</f>
        <v/>
      </c>
      <c r="F188">
        <f>IF(LOWER(C188)="covered", 10.40, 7.55)</f>
        <v/>
      </c>
      <c r="G188">
        <f>E188*F188</f>
        <v/>
      </c>
      <c r="H188" t="n">
        <v>395.2</v>
      </c>
      <c r="I188">
        <f>G188-H188</f>
        <v/>
      </c>
    </row>
    <row r="189">
      <c r="A189" t="inlineStr">
        <is>
          <t>LP-0911</t>
        </is>
      </c>
      <c r="B189" t="inlineStr">
        <is>
          <t>Ledgport</t>
        </is>
      </c>
      <c r="C189" t="inlineStr">
        <is>
          <t>covered</t>
        </is>
      </c>
      <c r="D189" t="n">
        <v>43.3</v>
      </c>
      <c r="E189">
        <f>ROUNDUP(D189, 0)</f>
        <v/>
      </c>
      <c r="F189">
        <f>IF(LOWER(C189)="covered", 10.40, 7.55)</f>
        <v/>
      </c>
      <c r="G189">
        <f>E189*F189</f>
        <v/>
      </c>
      <c r="H189" t="n">
        <v>457.6</v>
      </c>
      <c r="I189">
        <f>G189-H189</f>
        <v/>
      </c>
    </row>
    <row r="190">
      <c r="A190" t="inlineStr">
        <is>
          <t>LP-0912</t>
        </is>
      </c>
      <c r="B190" t="inlineStr">
        <is>
          <t>Ledgport</t>
        </is>
      </c>
      <c r="C190" t="inlineStr">
        <is>
          <t>covered</t>
        </is>
      </c>
      <c r="D190" t="n">
        <v>32.6</v>
      </c>
      <c r="E190">
        <f>ROUNDUP(D190, 0)</f>
        <v/>
      </c>
      <c r="F190">
        <f>IF(LOWER(C190)="covered", 10.40, 7.55)</f>
        <v/>
      </c>
      <c r="G190">
        <f>E190*F190</f>
        <v/>
      </c>
      <c r="H190" t="n">
        <v>343.2</v>
      </c>
      <c r="I190">
        <f>G190-H190</f>
        <v/>
      </c>
    </row>
    <row r="191">
      <c r="A191" t="inlineStr">
        <is>
          <t>LP-0913</t>
        </is>
      </c>
      <c r="B191" t="inlineStr">
        <is>
          <t>Ledgport</t>
        </is>
      </c>
      <c r="C191" t="inlineStr">
        <is>
          <t>covered</t>
        </is>
      </c>
      <c r="D191" t="n">
        <v>43.1</v>
      </c>
      <c r="E191">
        <f>ROUNDUP(D191, 0)</f>
        <v/>
      </c>
      <c r="F191">
        <f>IF(LOWER(C191)="covered", 10.40, 7.55)</f>
        <v/>
      </c>
      <c r="G191">
        <f>E191*F191</f>
        <v/>
      </c>
      <c r="H191" t="n">
        <v>457.6</v>
      </c>
      <c r="I191">
        <f>G191-H191</f>
        <v/>
      </c>
    </row>
    <row r="192">
      <c r="A192" t="inlineStr">
        <is>
          <t>LP-0914</t>
        </is>
      </c>
      <c r="B192" t="inlineStr">
        <is>
          <t>Ledgport</t>
        </is>
      </c>
      <c r="C192" t="inlineStr">
        <is>
          <t>covered</t>
        </is>
      </c>
      <c r="D192" t="n">
        <v>35.1</v>
      </c>
      <c r="E192">
        <f>ROUNDUP(D192, 0)</f>
        <v/>
      </c>
      <c r="F192">
        <f>IF(LOWER(C192)="covered", 10.40, 7.55)</f>
        <v/>
      </c>
      <c r="G192">
        <f>E192*F192</f>
        <v/>
      </c>
      <c r="H192" t="n">
        <v>416</v>
      </c>
      <c r="I192">
        <f>G192-H192</f>
        <v/>
      </c>
    </row>
    <row r="193">
      <c r="A193" t="inlineStr">
        <is>
          <t>LP-0915</t>
        </is>
      </c>
      <c r="B193" t="inlineStr">
        <is>
          <t>Ledgport</t>
        </is>
      </c>
      <c r="C193" t="inlineStr">
        <is>
          <t>covered</t>
        </is>
      </c>
      <c r="D193" t="n">
        <v>35.1</v>
      </c>
      <c r="E193">
        <f>ROUNDUP(D193, 0)</f>
        <v/>
      </c>
      <c r="F193">
        <f>IF(LOWER(C193)="covered", 10.40, 7.55)</f>
        <v/>
      </c>
      <c r="G193">
        <f>E193*F193</f>
        <v/>
      </c>
      <c r="H193" t="n">
        <v>374.4</v>
      </c>
      <c r="I193">
        <f>G193-H193</f>
        <v/>
      </c>
    </row>
    <row r="194">
      <c r="A194" t="inlineStr">
        <is>
          <t>LP-0917</t>
        </is>
      </c>
      <c r="B194" t="inlineStr">
        <is>
          <t>Ledgport</t>
        </is>
      </c>
      <c r="C194" t="inlineStr">
        <is>
          <t>covered</t>
        </is>
      </c>
      <c r="D194" t="n">
        <v>34.5</v>
      </c>
      <c r="E194">
        <f>ROUNDUP(D194, 0)</f>
        <v/>
      </c>
      <c r="F194">
        <f>IF(LOWER(C194)="covered", 10.40, 7.55)</f>
        <v/>
      </c>
      <c r="G194">
        <f>E194*F194</f>
        <v/>
      </c>
      <c r="H194" t="n">
        <v>374.4</v>
      </c>
      <c r="I194">
        <f>G194-H194</f>
        <v/>
      </c>
    </row>
    <row r="195">
      <c r="A195" t="inlineStr">
        <is>
          <t>LP-0918</t>
        </is>
      </c>
      <c r="B195" t="inlineStr">
        <is>
          <t>Ledgport</t>
        </is>
      </c>
      <c r="C195" t="inlineStr">
        <is>
          <t>covered</t>
        </is>
      </c>
      <c r="D195" t="n">
        <v>58.2</v>
      </c>
      <c r="E195">
        <f>ROUNDUP(D195, 0)</f>
        <v/>
      </c>
      <c r="F195">
        <f>IF(LOWER(C195)="covered", 10.40, 7.55)</f>
        <v/>
      </c>
      <c r="G195">
        <f>E195*F195</f>
        <v/>
      </c>
      <c r="H195" t="n">
        <v>613.6</v>
      </c>
      <c r="I195">
        <f>G195-H195</f>
        <v/>
      </c>
    </row>
    <row r="196">
      <c r="A196" t="inlineStr">
        <is>
          <t>LP-0919</t>
        </is>
      </c>
      <c r="B196" t="inlineStr">
        <is>
          <t>Ledgport</t>
        </is>
      </c>
      <c r="C196" t="inlineStr">
        <is>
          <t>covered</t>
        </is>
      </c>
      <c r="D196" t="n">
        <v>24.5</v>
      </c>
      <c r="E196">
        <f>ROUNDUP(D196, 0)</f>
        <v/>
      </c>
      <c r="F196">
        <f>IF(LOWER(C196)="covered", 10.40, 7.55)</f>
        <v/>
      </c>
      <c r="G196">
        <f>E196*F196</f>
        <v/>
      </c>
      <c r="H196" t="n">
        <v>332.8</v>
      </c>
      <c r="I196">
        <f>G196-H196</f>
        <v/>
      </c>
    </row>
    <row r="197">
      <c r="A197" t="inlineStr">
        <is>
          <t>LP-0920</t>
        </is>
      </c>
      <c r="B197" t="inlineStr">
        <is>
          <t>Ledgport</t>
        </is>
      </c>
      <c r="C197" t="inlineStr">
        <is>
          <t>covered</t>
        </is>
      </c>
      <c r="D197" t="n">
        <v>38.3</v>
      </c>
      <c r="E197">
        <f>ROUNDUP(D197, 0)</f>
        <v/>
      </c>
      <c r="F197">
        <f>IF(LOWER(C197)="covered", 10.40, 7.55)</f>
        <v/>
      </c>
      <c r="G197">
        <f>E197*F197</f>
        <v/>
      </c>
      <c r="H197" t="n">
        <v>405.6</v>
      </c>
      <c r="I197">
        <f>G197-H197</f>
        <v/>
      </c>
    </row>
    <row r="198">
      <c r="A198" t="inlineStr">
        <is>
          <t>LP-0921</t>
        </is>
      </c>
      <c r="B198" t="inlineStr">
        <is>
          <t>Ledgport</t>
        </is>
      </c>
      <c r="C198" t="inlineStr">
        <is>
          <t>covered</t>
        </is>
      </c>
      <c r="D198" t="n">
        <v>24.8</v>
      </c>
      <c r="E198">
        <f>ROUNDUP(D198, 0)</f>
        <v/>
      </c>
      <c r="F198">
        <f>IF(LOWER(C198)="covered", 10.40, 7.55)</f>
        <v/>
      </c>
      <c r="G198">
        <f>E198*F198</f>
        <v/>
      </c>
      <c r="H198" t="n">
        <v>291.2</v>
      </c>
      <c r="I198">
        <f>G198-H198</f>
        <v/>
      </c>
    </row>
    <row r="199">
      <c r="A199" t="inlineStr">
        <is>
          <t>LP-0922</t>
        </is>
      </c>
      <c r="B199" t="inlineStr">
        <is>
          <t>Ledgport</t>
        </is>
      </c>
      <c r="C199" t="inlineStr">
        <is>
          <t>covered</t>
        </is>
      </c>
      <c r="D199" t="n">
        <v>58</v>
      </c>
      <c r="E199">
        <f>ROUNDUP(D199, 0)</f>
        <v/>
      </c>
      <c r="F199">
        <f>IF(LOWER(C199)="covered", 10.40, 7.55)</f>
        <v/>
      </c>
      <c r="G199">
        <f>E199*F199</f>
        <v/>
      </c>
      <c r="H199" t="n">
        <v>603.2</v>
      </c>
      <c r="I199">
        <f>G199-H199</f>
        <v/>
      </c>
    </row>
    <row r="200">
      <c r="A200" t="inlineStr">
        <is>
          <t>LP-0923</t>
        </is>
      </c>
      <c r="B200" t="inlineStr">
        <is>
          <t>Ledgport</t>
        </is>
      </c>
      <c r="C200" t="inlineStr">
        <is>
          <t>covered</t>
        </is>
      </c>
      <c r="D200" t="n">
        <v>21</v>
      </c>
      <c r="E200">
        <f>ROUNDUP(D200, 0)</f>
        <v/>
      </c>
      <c r="F200">
        <f>IF(LOWER(C200)="covered", 10.40, 7.55)</f>
        <v/>
      </c>
      <c r="G200">
        <f>E200*F200</f>
        <v/>
      </c>
      <c r="H200" t="n">
        <v>249.6</v>
      </c>
      <c r="I200">
        <f>G200-H200</f>
        <v/>
      </c>
    </row>
    <row r="201">
      <c r="A201" t="inlineStr">
        <is>
          <t>LP-0924</t>
        </is>
      </c>
      <c r="B201" t="inlineStr">
        <is>
          <t>Ledgport</t>
        </is>
      </c>
      <c r="C201" t="inlineStr">
        <is>
          <t>covered</t>
        </is>
      </c>
      <c r="D201" t="n">
        <v>59.9</v>
      </c>
      <c r="E201">
        <f>ROUNDUP(D201, 0)</f>
        <v/>
      </c>
      <c r="F201">
        <f>IF(LOWER(C201)="covered", 10.40, 7.55)</f>
        <v/>
      </c>
      <c r="G201">
        <f>E201*F201</f>
        <v/>
      </c>
      <c r="H201" t="n">
        <v>624</v>
      </c>
      <c r="I201">
        <f>G201-H201</f>
        <v/>
      </c>
    </row>
    <row r="202">
      <c r="A202" t="inlineStr">
        <is>
          <t>LP-1001</t>
        </is>
      </c>
      <c r="B202" t="inlineStr">
        <is>
          <t>Ledgport</t>
        </is>
      </c>
      <c r="C202" t="inlineStr">
        <is>
          <t>covered</t>
        </is>
      </c>
      <c r="D202" t="n">
        <v>54.4</v>
      </c>
      <c r="E202">
        <f>ROUNDUP(D202, 0)</f>
        <v/>
      </c>
      <c r="F202">
        <f>IF(LOWER(C202)="covered", 10.40, 7.55)</f>
        <v/>
      </c>
      <c r="G202">
        <f>E202*F202</f>
        <v/>
      </c>
      <c r="H202" t="n">
        <v>572</v>
      </c>
      <c r="I202">
        <f>G202-H202</f>
        <v/>
      </c>
    </row>
    <row r="203">
      <c r="A203" t="inlineStr">
        <is>
          <t>LP-1002</t>
        </is>
      </c>
      <c r="B203" t="inlineStr">
        <is>
          <t>Ledgport</t>
        </is>
      </c>
      <c r="C203" t="inlineStr">
        <is>
          <t>covered</t>
        </is>
      </c>
      <c r="D203" t="n">
        <v>62</v>
      </c>
      <c r="E203">
        <f>ROUNDUP(D203, 0)</f>
        <v/>
      </c>
      <c r="F203">
        <f>IF(LOWER(C203)="covered", 10.40, 7.55)</f>
        <v/>
      </c>
      <c r="G203">
        <f>E203*F203</f>
        <v/>
      </c>
      <c r="H203" t="n">
        <v>644.8</v>
      </c>
      <c r="I203">
        <f>G203-H203</f>
        <v/>
      </c>
    </row>
    <row r="204">
      <c r="A204" t="inlineStr">
        <is>
          <t>LP-1003</t>
        </is>
      </c>
      <c r="B204" t="inlineStr">
        <is>
          <t>Ledgport</t>
        </is>
      </c>
      <c r="C204" t="inlineStr">
        <is>
          <t>covered</t>
        </is>
      </c>
      <c r="D204" t="n">
        <v>56.2</v>
      </c>
      <c r="E204">
        <f>ROUNDUP(D204, 0)</f>
        <v/>
      </c>
      <c r="F204">
        <f>IF(LOWER(C204)="covered", 10.40, 7.55)</f>
        <v/>
      </c>
      <c r="G204">
        <f>E204*F204</f>
        <v/>
      </c>
      <c r="H204" t="n">
        <v>592.8</v>
      </c>
      <c r="I204">
        <f>G204-H204</f>
        <v/>
      </c>
    </row>
    <row r="205">
      <c r="A205" t="inlineStr">
        <is>
          <t>LP-1004</t>
        </is>
      </c>
      <c r="B205" t="inlineStr">
        <is>
          <t>Ledgport</t>
        </is>
      </c>
      <c r="C205" t="inlineStr">
        <is>
          <t>covered</t>
        </is>
      </c>
      <c r="D205" t="n">
        <v>33.9</v>
      </c>
      <c r="E205">
        <f>ROUNDUP(D205, 0)</f>
        <v/>
      </c>
      <c r="F205">
        <f>IF(LOWER(C205)="covered", 10.40, 7.55)</f>
        <v/>
      </c>
      <c r="G205">
        <f>E205*F205</f>
        <v/>
      </c>
      <c r="H205" t="n">
        <v>353.6</v>
      </c>
      <c r="I205">
        <f>G205-H205</f>
        <v/>
      </c>
    </row>
    <row r="206">
      <c r="A206" t="inlineStr">
        <is>
          <t>LP-1005</t>
        </is>
      </c>
      <c r="B206" t="inlineStr">
        <is>
          <t>Ledgport</t>
        </is>
      </c>
      <c r="C206" t="inlineStr">
        <is>
          <t>covered</t>
        </is>
      </c>
      <c r="D206" t="n">
        <v>38</v>
      </c>
      <c r="E206">
        <f>ROUNDUP(D206, 0)</f>
        <v/>
      </c>
      <c r="F206">
        <f>IF(LOWER(C206)="covered", 10.40, 7.55)</f>
        <v/>
      </c>
      <c r="G206">
        <f>E206*F206</f>
        <v/>
      </c>
      <c r="H206" t="n">
        <v>395.2</v>
      </c>
      <c r="I206">
        <f>G206-H206</f>
        <v/>
      </c>
    </row>
    <row r="207">
      <c r="A207" t="inlineStr">
        <is>
          <t>LP-1006</t>
        </is>
      </c>
      <c r="B207" t="inlineStr">
        <is>
          <t>Ledgport</t>
        </is>
      </c>
      <c r="C207" t="inlineStr">
        <is>
          <t>covered</t>
        </is>
      </c>
      <c r="D207" t="n">
        <v>19.5</v>
      </c>
      <c r="E207">
        <f>ROUNDUP(D207, 0)</f>
        <v/>
      </c>
      <c r="F207">
        <f>IF(LOWER(C207)="covered", 10.40, 7.55)</f>
        <v/>
      </c>
      <c r="G207">
        <f>E207*F207</f>
        <v/>
      </c>
      <c r="H207" t="n">
        <v>374.4</v>
      </c>
      <c r="I207">
        <f>G207-H207</f>
        <v/>
      </c>
    </row>
    <row r="208">
      <c r="A208" t="inlineStr">
        <is>
          <t>LP-1007</t>
        </is>
      </c>
      <c r="B208" t="inlineStr">
        <is>
          <t>Ledgport</t>
        </is>
      </c>
      <c r="C208" t="inlineStr">
        <is>
          <t>covered</t>
        </is>
      </c>
      <c r="D208" t="n">
        <v>57.9</v>
      </c>
      <c r="E208">
        <f>ROUNDUP(D208, 0)</f>
        <v/>
      </c>
      <c r="F208">
        <f>IF(LOWER(C208)="covered", 10.40, 7.55)</f>
        <v/>
      </c>
      <c r="G208">
        <f>E208*F208</f>
        <v/>
      </c>
      <c r="H208" t="n">
        <v>603.2</v>
      </c>
      <c r="I208">
        <f>G208-H208</f>
        <v/>
      </c>
    </row>
    <row r="209">
      <c r="A209" t="inlineStr">
        <is>
          <t>LP-1008</t>
        </is>
      </c>
      <c r="B209" t="inlineStr">
        <is>
          <t>Ledgport</t>
        </is>
      </c>
      <c r="C209" t="inlineStr">
        <is>
          <t>covered</t>
        </is>
      </c>
      <c r="D209" t="n">
        <v>58.9</v>
      </c>
      <c r="E209">
        <f>ROUNDUP(D209, 0)</f>
        <v/>
      </c>
      <c r="F209">
        <f>IF(LOWER(C209)="covered", 10.40, 7.55)</f>
        <v/>
      </c>
      <c r="G209">
        <f>E209*F209</f>
        <v/>
      </c>
      <c r="H209" t="n">
        <v>613.6</v>
      </c>
      <c r="I209">
        <f>G209-H209</f>
        <v/>
      </c>
    </row>
    <row r="210">
      <c r="A210" t="inlineStr">
        <is>
          <t>LP-1009</t>
        </is>
      </c>
      <c r="B210" t="inlineStr">
        <is>
          <t>Ledgport</t>
        </is>
      </c>
      <c r="C210" t="inlineStr">
        <is>
          <t>covered</t>
        </is>
      </c>
      <c r="D210" t="n">
        <v>19.3</v>
      </c>
      <c r="E210">
        <f>ROUNDUP(D210, 0)</f>
        <v/>
      </c>
      <c r="F210">
        <f>IF(LOWER(C210)="covered", 10.40, 7.55)</f>
        <v/>
      </c>
      <c r="G210">
        <f>E210*F210</f>
        <v/>
      </c>
      <c r="H210" t="n">
        <v>332.8</v>
      </c>
      <c r="I210">
        <f>G210-H210</f>
        <v/>
      </c>
    </row>
    <row r="211">
      <c r="A211" t="inlineStr">
        <is>
          <t>LP-1010</t>
        </is>
      </c>
      <c r="B211" t="inlineStr">
        <is>
          <t>Ledgport</t>
        </is>
      </c>
      <c r="C211" t="inlineStr">
        <is>
          <t>covered</t>
        </is>
      </c>
      <c r="D211" t="n">
        <v>61.8</v>
      </c>
      <c r="E211">
        <f>ROUNDUP(D211, 0)</f>
        <v/>
      </c>
      <c r="F211">
        <f>IF(LOWER(C211)="covered", 10.40, 7.55)</f>
        <v/>
      </c>
      <c r="G211">
        <f>E211*F211</f>
        <v/>
      </c>
      <c r="H211" t="n">
        <v>644.8</v>
      </c>
      <c r="I211">
        <f>G211-H211</f>
        <v/>
      </c>
    </row>
    <row r="212">
      <c r="A212" t="inlineStr">
        <is>
          <t>LP-1011</t>
        </is>
      </c>
      <c r="B212" t="inlineStr">
        <is>
          <t>Ledgport</t>
        </is>
      </c>
      <c r="C212" t="inlineStr">
        <is>
          <t>covered</t>
        </is>
      </c>
      <c r="D212" t="n">
        <v>40.9</v>
      </c>
      <c r="E212">
        <f>ROUNDUP(D212, 0)</f>
        <v/>
      </c>
      <c r="F212">
        <f>IF(LOWER(C212)="covered", 10.40, 7.55)</f>
        <v/>
      </c>
      <c r="G212">
        <f>E212*F212</f>
        <v/>
      </c>
      <c r="H212" t="n">
        <v>426.4</v>
      </c>
      <c r="I212">
        <f>G212-H212</f>
        <v/>
      </c>
    </row>
    <row r="213">
      <c r="A213" t="inlineStr">
        <is>
          <t>LP-1012</t>
        </is>
      </c>
      <c r="B213" t="inlineStr">
        <is>
          <t>Ledgport</t>
        </is>
      </c>
      <c r="C213" t="inlineStr">
        <is>
          <t>covered</t>
        </is>
      </c>
      <c r="D213" t="n">
        <v>28.7</v>
      </c>
      <c r="E213">
        <f>ROUNDUP(D213, 0)</f>
        <v/>
      </c>
      <c r="F213">
        <f>IF(LOWER(C213)="covered", 10.40, 7.55)</f>
        <v/>
      </c>
      <c r="G213">
        <f>E213*F213</f>
        <v/>
      </c>
      <c r="H213" t="n">
        <v>301.6</v>
      </c>
      <c r="I213">
        <f>G213-H213</f>
        <v/>
      </c>
    </row>
    <row r="214">
      <c r="A214" t="inlineStr">
        <is>
          <t>LP-1013</t>
        </is>
      </c>
      <c r="B214" t="inlineStr">
        <is>
          <t>Ledgport</t>
        </is>
      </c>
      <c r="C214" t="inlineStr">
        <is>
          <t>covered</t>
        </is>
      </c>
      <c r="D214" t="n">
        <v>19.5</v>
      </c>
      <c r="E214">
        <f>ROUNDUP(D214, 0)</f>
        <v/>
      </c>
      <c r="F214">
        <f>IF(LOWER(C214)="covered", 10.40, 7.55)</f>
        <v/>
      </c>
      <c r="G214">
        <f>E214*F214</f>
        <v/>
      </c>
      <c r="H214" t="n">
        <v>291.2</v>
      </c>
      <c r="I214">
        <f>G214-H214</f>
        <v/>
      </c>
    </row>
    <row r="215">
      <c r="A215" t="inlineStr">
        <is>
          <t>LP-1014</t>
        </is>
      </c>
      <c r="B215" t="inlineStr">
        <is>
          <t>Ledgport</t>
        </is>
      </c>
      <c r="C215" t="inlineStr">
        <is>
          <t>covered</t>
        </is>
      </c>
      <c r="D215" t="n">
        <v>19.4</v>
      </c>
      <c r="E215">
        <f>ROUNDUP(D215, 0)</f>
        <v/>
      </c>
      <c r="F215">
        <f>IF(LOWER(C215)="covered", 10.40, 7.55)</f>
        <v/>
      </c>
      <c r="G215">
        <f>E215*F215</f>
        <v/>
      </c>
      <c r="H215" t="n">
        <v>249.6</v>
      </c>
      <c r="I215">
        <f>G215-H215</f>
        <v/>
      </c>
    </row>
    <row r="216">
      <c r="A216" t="inlineStr">
        <is>
          <t>LP-1016</t>
        </is>
      </c>
      <c r="B216" t="inlineStr">
        <is>
          <t>Ledgport</t>
        </is>
      </c>
      <c r="C216" t="inlineStr">
        <is>
          <t>covered</t>
        </is>
      </c>
      <c r="D216" t="n">
        <v>25.9</v>
      </c>
      <c r="E216">
        <f>ROUNDUP(D216, 0)</f>
        <v/>
      </c>
      <c r="F216">
        <f>IF(LOWER(C216)="covered", 10.40, 7.55)</f>
        <v/>
      </c>
      <c r="G216">
        <f>E216*F216</f>
        <v/>
      </c>
      <c r="H216" t="n">
        <v>291.2</v>
      </c>
      <c r="I216">
        <f>G216-H216</f>
        <v/>
      </c>
    </row>
    <row r="217">
      <c r="A217" t="inlineStr">
        <is>
          <t>LP-1017</t>
        </is>
      </c>
      <c r="B217" t="inlineStr">
        <is>
          <t>Ledgport</t>
        </is>
      </c>
      <c r="C217" t="inlineStr">
        <is>
          <t>covered</t>
        </is>
      </c>
      <c r="D217" t="n">
        <v>55.1</v>
      </c>
      <c r="E217">
        <f>ROUNDUP(D217, 0)</f>
        <v/>
      </c>
      <c r="F217">
        <f>IF(LOWER(C217)="covered", 10.40, 7.55)</f>
        <v/>
      </c>
      <c r="G217">
        <f>E217*F217</f>
        <v/>
      </c>
      <c r="H217" t="n">
        <v>582.4</v>
      </c>
      <c r="I217">
        <f>G217-H217</f>
        <v/>
      </c>
    </row>
    <row r="218">
      <c r="A218" t="inlineStr">
        <is>
          <t>LP-1018</t>
        </is>
      </c>
      <c r="B218" t="inlineStr">
        <is>
          <t>Ledgport</t>
        </is>
      </c>
      <c r="C218" t="inlineStr">
        <is>
          <t>covered</t>
        </is>
      </c>
      <c r="D218" t="n">
        <v>53.2</v>
      </c>
      <c r="E218">
        <f>ROUNDUP(D218, 0)</f>
        <v/>
      </c>
      <c r="F218">
        <f>IF(LOWER(C218)="covered", 10.40, 7.55)</f>
        <v/>
      </c>
      <c r="G218">
        <f>E218*F218</f>
        <v/>
      </c>
      <c r="H218" t="n">
        <v>561.6</v>
      </c>
      <c r="I218">
        <f>G218-H218</f>
        <v/>
      </c>
    </row>
    <row r="219">
      <c r="A219" t="inlineStr">
        <is>
          <t>LP-1020</t>
        </is>
      </c>
      <c r="B219" t="inlineStr">
        <is>
          <t>Ledgport</t>
        </is>
      </c>
      <c r="C219" t="inlineStr">
        <is>
          <t>covered</t>
        </is>
      </c>
      <c r="D219" t="n">
        <v>25.1</v>
      </c>
      <c r="E219">
        <f>ROUNDUP(D219, 0)</f>
        <v/>
      </c>
      <c r="F219">
        <f>IF(LOWER(C219)="covered", 10.40, 7.55)</f>
        <v/>
      </c>
      <c r="G219">
        <f>E219*F219</f>
        <v/>
      </c>
      <c r="H219" t="n">
        <v>332.8</v>
      </c>
      <c r="I219">
        <f>G219-H219</f>
        <v/>
      </c>
    </row>
    <row r="220">
      <c r="A220" t="inlineStr">
        <is>
          <t>LP-1021</t>
        </is>
      </c>
      <c r="B220" t="inlineStr">
        <is>
          <t>Ledgport</t>
        </is>
      </c>
      <c r="C220" t="inlineStr">
        <is>
          <t>covered</t>
        </is>
      </c>
      <c r="D220" t="n">
        <v>36.2</v>
      </c>
      <c r="E220">
        <f>ROUNDUP(D220, 0)</f>
        <v/>
      </c>
      <c r="F220">
        <f>IF(LOWER(C220)="covered", 10.40, 7.55)</f>
        <v/>
      </c>
      <c r="G220">
        <f>E220*F220</f>
        <v/>
      </c>
      <c r="H220" t="n">
        <v>384.8</v>
      </c>
      <c r="I220">
        <f>G220-H220</f>
        <v/>
      </c>
    </row>
    <row r="221">
      <c r="A221" t="inlineStr">
        <is>
          <t>LP-1022</t>
        </is>
      </c>
      <c r="B221" t="inlineStr">
        <is>
          <t>Ledgport</t>
        </is>
      </c>
      <c r="C221" t="inlineStr">
        <is>
          <t>covered</t>
        </is>
      </c>
      <c r="D221" t="n">
        <v>28.7</v>
      </c>
      <c r="E221">
        <f>ROUNDUP(D221, 0)</f>
        <v/>
      </c>
      <c r="F221">
        <f>IF(LOWER(C221)="covered", 10.40, 7.55)</f>
        <v/>
      </c>
      <c r="G221">
        <f>E221*F221</f>
        <v/>
      </c>
      <c r="H221" t="n">
        <v>301.6</v>
      </c>
      <c r="I221">
        <f>G221-H221</f>
        <v/>
      </c>
    </row>
    <row r="222">
      <c r="A222" t="inlineStr">
        <is>
          <t>LP-1023</t>
        </is>
      </c>
      <c r="B222" t="inlineStr">
        <is>
          <t>Ledgport</t>
        </is>
      </c>
      <c r="C222" t="inlineStr">
        <is>
          <t>covered</t>
        </is>
      </c>
      <c r="D222" t="n">
        <v>20</v>
      </c>
      <c r="E222">
        <f>ROUNDUP(D222, 0)</f>
        <v/>
      </c>
      <c r="F222">
        <f>IF(LOWER(C222)="covered", 10.40, 7.55)</f>
        <v/>
      </c>
      <c r="G222">
        <f>E222*F222</f>
        <v/>
      </c>
      <c r="H222" t="n">
        <v>249.6</v>
      </c>
      <c r="I222">
        <f>G222-H222</f>
        <v/>
      </c>
    </row>
    <row r="223">
      <c r="A223" t="inlineStr">
        <is>
          <t>LP-1024</t>
        </is>
      </c>
      <c r="B223" t="inlineStr">
        <is>
          <t>Ledgport</t>
        </is>
      </c>
      <c r="C223" t="inlineStr">
        <is>
          <t>covered</t>
        </is>
      </c>
      <c r="D223" t="n">
        <v>53.7</v>
      </c>
      <c r="E223">
        <f>ROUNDUP(D223, 0)</f>
        <v/>
      </c>
      <c r="F223">
        <f>IF(LOWER(C223)="covered", 10.40, 7.55)</f>
        <v/>
      </c>
      <c r="G223">
        <f>E223*F223</f>
        <v/>
      </c>
      <c r="H223" t="n">
        <v>561.6</v>
      </c>
      <c r="I223">
        <f>G223-H223</f>
        <v/>
      </c>
    </row>
    <row r="224">
      <c r="A224" t="inlineStr">
        <is>
          <t>LP-1102</t>
        </is>
      </c>
      <c r="B224" t="inlineStr">
        <is>
          <t>Ledgport</t>
        </is>
      </c>
      <c r="C224" t="inlineStr">
        <is>
          <t>covered</t>
        </is>
      </c>
      <c r="D224" t="n">
        <v>54.9</v>
      </c>
      <c r="E224">
        <f>ROUNDUP(D224, 0)</f>
        <v/>
      </c>
      <c r="F224">
        <f>IF(LOWER(C224)="covered", 10.40, 7.55)</f>
        <v/>
      </c>
      <c r="G224">
        <f>E224*F224</f>
        <v/>
      </c>
      <c r="H224" t="n">
        <v>572</v>
      </c>
      <c r="I224">
        <f>G224-H224</f>
        <v/>
      </c>
    </row>
    <row r="225">
      <c r="A225" t="inlineStr">
        <is>
          <t>LP-1103</t>
        </is>
      </c>
      <c r="B225" t="inlineStr">
        <is>
          <t>Ledgport</t>
        </is>
      </c>
      <c r="C225" t="inlineStr">
        <is>
          <t>covered</t>
        </is>
      </c>
      <c r="D225" t="n">
        <v>23.2</v>
      </c>
      <c r="E225">
        <f>ROUNDUP(D225, 0)</f>
        <v/>
      </c>
      <c r="F225">
        <f>IF(LOWER(C225)="covered", 10.40, 7.55)</f>
        <v/>
      </c>
      <c r="G225">
        <f>E225*F225</f>
        <v/>
      </c>
      <c r="H225" t="n">
        <v>332.8</v>
      </c>
      <c r="I225">
        <f>G225-H225</f>
        <v/>
      </c>
    </row>
    <row r="226">
      <c r="A226" t="inlineStr">
        <is>
          <t>LP-1104</t>
        </is>
      </c>
      <c r="B226" t="inlineStr">
        <is>
          <t>Ledgport</t>
        </is>
      </c>
      <c r="C226" t="inlineStr">
        <is>
          <t>covered</t>
        </is>
      </c>
      <c r="D226" t="n">
        <v>53.6</v>
      </c>
      <c r="E226">
        <f>ROUNDUP(D226, 0)</f>
        <v/>
      </c>
      <c r="F226">
        <f>IF(LOWER(C226)="covered", 10.40, 7.55)</f>
        <v/>
      </c>
      <c r="G226">
        <f>E226*F226</f>
        <v/>
      </c>
      <c r="H226" t="n">
        <v>561.6</v>
      </c>
      <c r="I226">
        <f>G226-H226</f>
        <v/>
      </c>
    </row>
    <row r="227">
      <c r="A227" t="inlineStr">
        <is>
          <t>LP-1105</t>
        </is>
      </c>
      <c r="B227" t="inlineStr">
        <is>
          <t>Ledgport</t>
        </is>
      </c>
      <c r="C227" t="inlineStr">
        <is>
          <t>covered</t>
        </is>
      </c>
      <c r="D227" t="n">
        <v>48.9</v>
      </c>
      <c r="E227">
        <f>ROUNDUP(D227, 0)</f>
        <v/>
      </c>
      <c r="F227">
        <f>IF(LOWER(C227)="covered", 10.40, 7.55)</f>
        <v/>
      </c>
      <c r="G227">
        <f>E227*F227</f>
        <v/>
      </c>
      <c r="H227" t="n">
        <v>509.6</v>
      </c>
      <c r="I227">
        <f>G227-H227</f>
        <v/>
      </c>
    </row>
    <row r="228">
      <c r="A228" t="inlineStr">
        <is>
          <t>LP-1106</t>
        </is>
      </c>
      <c r="B228" t="inlineStr">
        <is>
          <t>Ledgport</t>
        </is>
      </c>
      <c r="C228" t="inlineStr">
        <is>
          <t>covered</t>
        </is>
      </c>
      <c r="D228" t="n">
        <v>18.6</v>
      </c>
      <c r="E228">
        <f>ROUNDUP(D228, 0)</f>
        <v/>
      </c>
      <c r="F228">
        <f>IF(LOWER(C228)="covered", 10.40, 7.55)</f>
        <v/>
      </c>
      <c r="G228">
        <f>E228*F228</f>
        <v/>
      </c>
      <c r="H228" t="n">
        <v>249.6</v>
      </c>
      <c r="I228">
        <f>G228-H228</f>
        <v/>
      </c>
    </row>
    <row r="229">
      <c r="A229" t="inlineStr">
        <is>
          <t>LP-1107</t>
        </is>
      </c>
      <c r="B229" t="inlineStr">
        <is>
          <t>Ledgport</t>
        </is>
      </c>
      <c r="C229" t="inlineStr">
        <is>
          <t>covered</t>
        </is>
      </c>
      <c r="D229" t="n">
        <v>47.6</v>
      </c>
      <c r="E229">
        <f>ROUNDUP(D229, 0)</f>
        <v/>
      </c>
      <c r="F229">
        <f>IF(LOWER(C229)="covered", 10.40, 7.55)</f>
        <v/>
      </c>
      <c r="G229">
        <f>E229*F229</f>
        <v/>
      </c>
      <c r="H229" t="n">
        <v>499.2</v>
      </c>
      <c r="I229">
        <f>G229-H229</f>
        <v/>
      </c>
    </row>
    <row r="230">
      <c r="A230" t="inlineStr">
        <is>
          <t>LP-1108</t>
        </is>
      </c>
      <c r="B230" t="inlineStr">
        <is>
          <t>Ledgport</t>
        </is>
      </c>
      <c r="C230" t="inlineStr">
        <is>
          <t>covered</t>
        </is>
      </c>
      <c r="D230" t="n">
        <v>30.9</v>
      </c>
      <c r="E230">
        <f>ROUNDUP(D230, 0)</f>
        <v/>
      </c>
      <c r="F230">
        <f>IF(LOWER(C230)="covered", 10.40, 7.55)</f>
        <v/>
      </c>
      <c r="G230">
        <f>E230*F230</f>
        <v/>
      </c>
      <c r="H230" t="n">
        <v>332.8</v>
      </c>
      <c r="I230">
        <f>G230-H230</f>
        <v/>
      </c>
    </row>
    <row r="231">
      <c r="A231" t="inlineStr">
        <is>
          <t>LP-1109</t>
        </is>
      </c>
      <c r="B231" t="inlineStr">
        <is>
          <t>Ledgport</t>
        </is>
      </c>
      <c r="C231" t="inlineStr">
        <is>
          <t>covered</t>
        </is>
      </c>
      <c r="D231" t="n">
        <v>29.2</v>
      </c>
      <c r="E231">
        <f>ROUNDUP(D231, 0)</f>
        <v/>
      </c>
      <c r="F231">
        <f>IF(LOWER(C231)="covered", 10.40, 7.55)</f>
        <v/>
      </c>
      <c r="G231">
        <f>E231*F231</f>
        <v/>
      </c>
      <c r="H231" t="n">
        <v>312</v>
      </c>
      <c r="I231">
        <f>G231-H231</f>
        <v/>
      </c>
    </row>
    <row r="232">
      <c r="A232" t="inlineStr">
        <is>
          <t>LP-1110</t>
        </is>
      </c>
      <c r="B232" t="inlineStr">
        <is>
          <t>Ledgport</t>
        </is>
      </c>
      <c r="C232" t="inlineStr">
        <is>
          <t>covered</t>
        </is>
      </c>
      <c r="D232" t="n">
        <v>34.1</v>
      </c>
      <c r="E232">
        <f>ROUNDUP(D232, 0)</f>
        <v/>
      </c>
      <c r="F232">
        <f>IF(LOWER(C232)="covered", 10.40, 7.55)</f>
        <v/>
      </c>
      <c r="G232">
        <f>E232*F232</f>
        <v/>
      </c>
      <c r="H232" t="n">
        <v>364</v>
      </c>
      <c r="I232">
        <f>G232-H232</f>
        <v/>
      </c>
    </row>
    <row r="233">
      <c r="A233" t="inlineStr">
        <is>
          <t>LP-1111</t>
        </is>
      </c>
      <c r="B233" t="inlineStr">
        <is>
          <t>Ledgport</t>
        </is>
      </c>
      <c r="C233" t="inlineStr">
        <is>
          <t>covered</t>
        </is>
      </c>
      <c r="D233" t="n">
        <v>54.5</v>
      </c>
      <c r="E233">
        <f>ROUNDUP(D233, 0)</f>
        <v/>
      </c>
      <c r="F233">
        <f>IF(LOWER(C233)="covered", 10.40, 7.55)</f>
        <v/>
      </c>
      <c r="G233">
        <f>E233*F233</f>
        <v/>
      </c>
      <c r="H233" t="n">
        <v>572</v>
      </c>
      <c r="I233">
        <f>G233-H233</f>
        <v/>
      </c>
    </row>
    <row r="234">
      <c r="A234" t="inlineStr">
        <is>
          <t>LP-1112</t>
        </is>
      </c>
      <c r="B234" t="inlineStr">
        <is>
          <t>Ledgport</t>
        </is>
      </c>
      <c r="C234" t="inlineStr">
        <is>
          <t>covered</t>
        </is>
      </c>
      <c r="D234" t="n">
        <v>34.5</v>
      </c>
      <c r="E234">
        <f>ROUNDUP(D234, 0)</f>
        <v/>
      </c>
      <c r="F234">
        <f>IF(LOWER(C234)="covered", 10.40, 7.55)</f>
        <v/>
      </c>
      <c r="G234">
        <f>E234*F234</f>
        <v/>
      </c>
      <c r="H234" t="n">
        <v>416</v>
      </c>
      <c r="I234">
        <f>G234-H234</f>
        <v/>
      </c>
    </row>
    <row r="235">
      <c r="A235" t="inlineStr">
        <is>
          <t>LP-1113</t>
        </is>
      </c>
      <c r="B235" t="inlineStr">
        <is>
          <t>Ledgport</t>
        </is>
      </c>
      <c r="C235" t="inlineStr">
        <is>
          <t>covered</t>
        </is>
      </c>
      <c r="D235" t="n">
        <v>18</v>
      </c>
      <c r="E235">
        <f>ROUNDUP(D235, 0)</f>
        <v/>
      </c>
      <c r="F235">
        <f>IF(LOWER(C235)="covered", 10.40, 7.55)</f>
        <v/>
      </c>
      <c r="G235">
        <f>E235*F235</f>
        <v/>
      </c>
      <c r="H235" t="n">
        <v>249.6</v>
      </c>
      <c r="I235">
        <f>G235-H235</f>
        <v/>
      </c>
    </row>
    <row r="236">
      <c r="A236" t="inlineStr">
        <is>
          <t>LP-1114</t>
        </is>
      </c>
      <c r="B236" t="inlineStr">
        <is>
          <t>Ledgport</t>
        </is>
      </c>
      <c r="C236" t="inlineStr">
        <is>
          <t>covered</t>
        </is>
      </c>
      <c r="D236" t="n">
        <v>21.4</v>
      </c>
      <c r="E236">
        <f>ROUNDUP(D236, 0)</f>
        <v/>
      </c>
      <c r="F236">
        <f>IF(LOWER(C236)="covered", 10.40, 7.55)</f>
        <v/>
      </c>
      <c r="G236">
        <f>E236*F236</f>
        <v/>
      </c>
      <c r="H236" t="n">
        <v>332.8</v>
      </c>
      <c r="I236">
        <f>G236-H236</f>
        <v/>
      </c>
    </row>
    <row r="237">
      <c r="A237" t="inlineStr">
        <is>
          <t>LP-1115</t>
        </is>
      </c>
      <c r="B237" t="inlineStr">
        <is>
          <t>Ledgport</t>
        </is>
      </c>
      <c r="C237" t="inlineStr">
        <is>
          <t>covered</t>
        </is>
      </c>
      <c r="D237" t="n">
        <v>58.7</v>
      </c>
      <c r="E237">
        <f>ROUNDUP(D237, 0)</f>
        <v/>
      </c>
      <c r="F237">
        <f>IF(LOWER(C237)="covered", 10.40, 7.55)</f>
        <v/>
      </c>
      <c r="G237">
        <f>E237*F237</f>
        <v/>
      </c>
      <c r="H237" t="n">
        <v>613.6</v>
      </c>
      <c r="I237">
        <f>G237-H237</f>
        <v/>
      </c>
    </row>
    <row r="238">
      <c r="A238" t="inlineStr">
        <is>
          <t>LP-1116</t>
        </is>
      </c>
      <c r="B238" t="inlineStr">
        <is>
          <t>Ledgport</t>
        </is>
      </c>
      <c r="C238" t="inlineStr">
        <is>
          <t>covered</t>
        </is>
      </c>
      <c r="D238" t="n">
        <v>36.8</v>
      </c>
      <c r="E238">
        <f>ROUNDUP(D238, 0)</f>
        <v/>
      </c>
      <c r="F238">
        <f>IF(LOWER(C238)="covered", 10.40, 7.55)</f>
        <v/>
      </c>
      <c r="G238">
        <f>E238*F238</f>
        <v/>
      </c>
      <c r="H238" t="n">
        <v>384.8</v>
      </c>
      <c r="I238">
        <f>G238-H238</f>
        <v/>
      </c>
    </row>
    <row r="239">
      <c r="A239" t="inlineStr">
        <is>
          <t>LP-1117</t>
        </is>
      </c>
      <c r="B239" t="inlineStr">
        <is>
          <t>Ledgport</t>
        </is>
      </c>
      <c r="C239" t="inlineStr">
        <is>
          <t>covered</t>
        </is>
      </c>
      <c r="D239" t="n">
        <v>62</v>
      </c>
      <c r="E239">
        <f>ROUNDUP(D239, 0)</f>
        <v/>
      </c>
      <c r="F239">
        <f>IF(LOWER(C239)="covered", 10.40, 7.55)</f>
        <v/>
      </c>
      <c r="G239">
        <f>E239*F239</f>
        <v/>
      </c>
      <c r="H239" t="n">
        <v>644.8</v>
      </c>
      <c r="I239">
        <f>G239-H239</f>
        <v/>
      </c>
    </row>
    <row r="240">
      <c r="A240" t="inlineStr">
        <is>
          <t>LP-1118</t>
        </is>
      </c>
      <c r="B240" t="inlineStr">
        <is>
          <t>Ledgport</t>
        </is>
      </c>
      <c r="C240" t="inlineStr">
        <is>
          <t>covered</t>
        </is>
      </c>
      <c r="D240" t="n">
        <v>59.8</v>
      </c>
      <c r="E240">
        <f>ROUNDUP(D240, 0)</f>
        <v/>
      </c>
      <c r="F240">
        <f>IF(LOWER(C240)="covered", 10.40, 7.55)</f>
        <v/>
      </c>
      <c r="G240">
        <f>E240*F240</f>
        <v/>
      </c>
      <c r="H240" t="n">
        <v>624</v>
      </c>
      <c r="I240">
        <f>G240-H240</f>
        <v/>
      </c>
    </row>
    <row r="241">
      <c r="A241" t="inlineStr">
        <is>
          <t>LP-1119</t>
        </is>
      </c>
      <c r="B241" t="inlineStr">
        <is>
          <t>Ledgport</t>
        </is>
      </c>
      <c r="C241" t="inlineStr">
        <is>
          <t>covered</t>
        </is>
      </c>
      <c r="D241" t="n">
        <v>41.3</v>
      </c>
      <c r="E241">
        <f>ROUNDUP(D241, 0)</f>
        <v/>
      </c>
      <c r="F241">
        <f>IF(LOWER(C241)="covered", 10.40, 7.55)</f>
        <v/>
      </c>
      <c r="G241">
        <f>E241*F241</f>
        <v/>
      </c>
      <c r="H241" t="n">
        <v>436.8</v>
      </c>
      <c r="I241">
        <f>G241-H241</f>
        <v/>
      </c>
    </row>
    <row r="242">
      <c r="A242" t="inlineStr">
        <is>
          <t>LP-1120</t>
        </is>
      </c>
      <c r="B242" t="inlineStr">
        <is>
          <t>Ledgport</t>
        </is>
      </c>
      <c r="C242" t="inlineStr">
        <is>
          <t>covered</t>
        </is>
      </c>
      <c r="D242" t="n">
        <v>24.1</v>
      </c>
      <c r="E242">
        <f>ROUNDUP(D242, 0)</f>
        <v/>
      </c>
      <c r="F242">
        <f>IF(LOWER(C242)="covered", 10.40, 7.55)</f>
        <v/>
      </c>
      <c r="G242">
        <f>E242*F242</f>
        <v/>
      </c>
      <c r="H242" t="n">
        <v>332.8</v>
      </c>
      <c r="I242">
        <f>G242-H242</f>
        <v/>
      </c>
    </row>
    <row r="243">
      <c r="A243" t="inlineStr">
        <is>
          <t>VB-0101</t>
        </is>
      </c>
      <c r="B243" t="inlineStr">
        <is>
          <t>Vessbank</t>
        </is>
      </c>
      <c r="C243" t="inlineStr">
        <is>
          <t>covered</t>
        </is>
      </c>
      <c r="D243" t="n">
        <v>61</v>
      </c>
      <c r="E243">
        <f>ROUNDUP(D243, 0)</f>
        <v/>
      </c>
      <c r="F243">
        <f>IF(LOWER(C243)="covered", 10.40, 7.55)</f>
        <v/>
      </c>
      <c r="G243">
        <f>E243*F243</f>
        <v/>
      </c>
      <c r="H243" t="n">
        <v>634.4</v>
      </c>
      <c r="I243">
        <f>G243-H243</f>
        <v/>
      </c>
    </row>
    <row r="244">
      <c r="A244" t="inlineStr">
        <is>
          <t>VB-0102</t>
        </is>
      </c>
      <c r="B244" t="inlineStr">
        <is>
          <t>Vessbank</t>
        </is>
      </c>
      <c r="C244" t="inlineStr">
        <is>
          <t>covered</t>
        </is>
      </c>
      <c r="D244" t="n">
        <v>33.2</v>
      </c>
      <c r="E244">
        <f>ROUNDUP(D244, 0)</f>
        <v/>
      </c>
      <c r="F244">
        <f>IF(LOWER(C244)="covered", 10.40, 7.55)</f>
        <v/>
      </c>
      <c r="G244">
        <f>E244*F244</f>
        <v/>
      </c>
      <c r="H244" t="n">
        <v>353.6</v>
      </c>
      <c r="I244">
        <f>G244-H244</f>
        <v/>
      </c>
    </row>
    <row r="245">
      <c r="A245" t="inlineStr">
        <is>
          <t>VB-0103</t>
        </is>
      </c>
      <c r="B245" t="inlineStr">
        <is>
          <t>Vessbank</t>
        </is>
      </c>
      <c r="C245" t="inlineStr">
        <is>
          <t>covered</t>
        </is>
      </c>
      <c r="D245" t="n">
        <v>38.9</v>
      </c>
      <c r="E245">
        <f>ROUNDUP(D245, 0)</f>
        <v/>
      </c>
      <c r="F245">
        <f>IF(LOWER(C245)="covered", 10.40, 7.55)</f>
        <v/>
      </c>
      <c r="G245">
        <f>E245*F245</f>
        <v/>
      </c>
      <c r="H245" t="n">
        <v>405.6</v>
      </c>
      <c r="I245">
        <f>G245-H245</f>
        <v/>
      </c>
    </row>
    <row r="246">
      <c r="A246" t="inlineStr">
        <is>
          <t>VB-0105</t>
        </is>
      </c>
      <c r="B246" t="inlineStr">
        <is>
          <t>Vessbank</t>
        </is>
      </c>
      <c r="C246" t="inlineStr">
        <is>
          <t>covered</t>
        </is>
      </c>
      <c r="D246" t="n">
        <v>53.9</v>
      </c>
      <c r="E246">
        <f>ROUNDUP(D246, 0)</f>
        <v/>
      </c>
      <c r="F246">
        <f>IF(LOWER(C246)="covered", 10.40, 7.55)</f>
        <v/>
      </c>
      <c r="G246">
        <f>E246*F246</f>
        <v/>
      </c>
      <c r="H246" t="n">
        <v>561.6</v>
      </c>
      <c r="I246">
        <f>G246-H246</f>
        <v/>
      </c>
    </row>
    <row r="247">
      <c r="A247" t="inlineStr">
        <is>
          <t>VB-0106</t>
        </is>
      </c>
      <c r="B247" t="inlineStr">
        <is>
          <t>Vessbank</t>
        </is>
      </c>
      <c r="C247" t="inlineStr">
        <is>
          <t>covered</t>
        </is>
      </c>
      <c r="D247" t="n">
        <v>48.2</v>
      </c>
      <c r="E247">
        <f>ROUNDUP(D247, 0)</f>
        <v/>
      </c>
      <c r="F247">
        <f>IF(LOWER(C247)="covered", 10.40, 7.55)</f>
        <v/>
      </c>
      <c r="G247">
        <f>E247*F247</f>
        <v/>
      </c>
      <c r="H247" t="n">
        <v>509.6</v>
      </c>
      <c r="I247">
        <f>G247-H247</f>
        <v/>
      </c>
    </row>
    <row r="248">
      <c r="A248" t="inlineStr">
        <is>
          <t>VB-0107</t>
        </is>
      </c>
      <c r="B248" t="inlineStr">
        <is>
          <t>Vessbank</t>
        </is>
      </c>
      <c r="C248" t="inlineStr">
        <is>
          <t>covered</t>
        </is>
      </c>
      <c r="D248" t="n">
        <v>35.5</v>
      </c>
      <c r="E248">
        <f>ROUNDUP(D248, 0)</f>
        <v/>
      </c>
      <c r="F248">
        <f>IF(LOWER(C248)="covered", 10.40, 7.55)</f>
        <v/>
      </c>
      <c r="G248">
        <f>E248*F248</f>
        <v/>
      </c>
      <c r="H248" t="n">
        <v>374.4</v>
      </c>
      <c r="I248">
        <f>G248-H248</f>
        <v/>
      </c>
    </row>
    <row r="249">
      <c r="A249" t="inlineStr">
        <is>
          <t>VB-0108</t>
        </is>
      </c>
      <c r="B249" t="inlineStr">
        <is>
          <t>Vessbank</t>
        </is>
      </c>
      <c r="C249" t="inlineStr">
        <is>
          <t>covered</t>
        </is>
      </c>
      <c r="D249" t="n">
        <v>29.7</v>
      </c>
      <c r="E249">
        <f>ROUNDUP(D249, 0)</f>
        <v/>
      </c>
      <c r="F249">
        <f>IF(LOWER(C249)="covered", 10.40, 7.55)</f>
        <v/>
      </c>
      <c r="G249">
        <f>E249*F249</f>
        <v/>
      </c>
      <c r="H249" t="n">
        <v>332.8</v>
      </c>
      <c r="I249">
        <f>G249-H249</f>
        <v/>
      </c>
    </row>
    <row r="250">
      <c r="A250" t="inlineStr">
        <is>
          <t>VB-0109</t>
        </is>
      </c>
      <c r="B250" t="inlineStr">
        <is>
          <t>Vessbank</t>
        </is>
      </c>
      <c r="C250" t="inlineStr">
        <is>
          <t>covered</t>
        </is>
      </c>
      <c r="D250" t="n">
        <v>30.9</v>
      </c>
      <c r="E250">
        <f>ROUNDUP(D250, 0)</f>
        <v/>
      </c>
      <c r="F250">
        <f>IF(LOWER(C250)="covered", 10.40, 7.55)</f>
        <v/>
      </c>
      <c r="G250">
        <f>E250*F250</f>
        <v/>
      </c>
      <c r="H250" t="n">
        <v>322.4</v>
      </c>
      <c r="I250">
        <f>G250-H250</f>
        <v/>
      </c>
    </row>
    <row r="251">
      <c r="A251" t="inlineStr">
        <is>
          <t>VB-0110</t>
        </is>
      </c>
      <c r="B251" t="inlineStr">
        <is>
          <t>Vessbank</t>
        </is>
      </c>
      <c r="C251" t="inlineStr">
        <is>
          <t>covered</t>
        </is>
      </c>
      <c r="D251" t="n">
        <v>52</v>
      </c>
      <c r="E251">
        <f>ROUNDUP(D251, 0)</f>
        <v/>
      </c>
      <c r="F251">
        <f>IF(LOWER(C251)="covered", 10.40, 7.55)</f>
        <v/>
      </c>
      <c r="G251">
        <f>E251*F251</f>
        <v/>
      </c>
      <c r="H251" t="n">
        <v>540.8</v>
      </c>
      <c r="I251">
        <f>G251-H251</f>
        <v/>
      </c>
    </row>
    <row r="252">
      <c r="A252" t="inlineStr">
        <is>
          <t>VB-0111</t>
        </is>
      </c>
      <c r="B252" t="inlineStr">
        <is>
          <t>Vessbank</t>
        </is>
      </c>
      <c r="C252" t="inlineStr">
        <is>
          <t>covered</t>
        </is>
      </c>
      <c r="D252" t="n">
        <v>39</v>
      </c>
      <c r="E252">
        <f>ROUNDUP(D252, 0)</f>
        <v/>
      </c>
      <c r="F252">
        <f>IF(LOWER(C252)="covered", 10.40, 7.55)</f>
        <v/>
      </c>
      <c r="G252">
        <f>E252*F252</f>
        <v/>
      </c>
      <c r="H252" t="n">
        <v>405.6</v>
      </c>
      <c r="I252">
        <f>G252-H252</f>
        <v/>
      </c>
    </row>
    <row r="253">
      <c r="A253" t="inlineStr">
        <is>
          <t>VB-0112</t>
        </is>
      </c>
      <c r="B253" t="inlineStr">
        <is>
          <t>Vessbank</t>
        </is>
      </c>
      <c r="C253" t="inlineStr">
        <is>
          <t>covered</t>
        </is>
      </c>
      <c r="D253" t="n">
        <v>53</v>
      </c>
      <c r="E253">
        <f>ROUNDUP(D253, 0)</f>
        <v/>
      </c>
      <c r="F253">
        <f>IF(LOWER(C253)="covered", 10.40, 7.55)</f>
        <v/>
      </c>
      <c r="G253">
        <f>E253*F253</f>
        <v/>
      </c>
      <c r="H253" t="n">
        <v>551.2</v>
      </c>
      <c r="I253">
        <f>G253-H253</f>
        <v/>
      </c>
    </row>
    <row r="254">
      <c r="A254" t="inlineStr">
        <is>
          <t>VB-0113</t>
        </is>
      </c>
      <c r="B254" t="inlineStr">
        <is>
          <t>Vessbank</t>
        </is>
      </c>
      <c r="C254" t="inlineStr">
        <is>
          <t>covered</t>
        </is>
      </c>
      <c r="D254" t="n">
        <v>24.8</v>
      </c>
      <c r="E254">
        <f>ROUNDUP(D254, 0)</f>
        <v/>
      </c>
      <c r="F254">
        <f>IF(LOWER(C254)="covered", 10.40, 7.55)</f>
        <v/>
      </c>
      <c r="G254">
        <f>E254*F254</f>
        <v/>
      </c>
      <c r="H254" t="n">
        <v>291.2</v>
      </c>
      <c r="I254">
        <f>G254-H254</f>
        <v/>
      </c>
    </row>
    <row r="255">
      <c r="A255" t="inlineStr">
        <is>
          <t>VB-0114</t>
        </is>
      </c>
      <c r="B255" t="inlineStr">
        <is>
          <t>Vessbank</t>
        </is>
      </c>
      <c r="C255" t="inlineStr">
        <is>
          <t>covered</t>
        </is>
      </c>
      <c r="D255" t="n">
        <v>40.2</v>
      </c>
      <c r="E255">
        <f>ROUNDUP(D255, 0)</f>
        <v/>
      </c>
      <c r="F255">
        <f>IF(LOWER(C255)="covered", 10.40, 7.55)</f>
        <v/>
      </c>
      <c r="G255">
        <f>E255*F255</f>
        <v/>
      </c>
      <c r="H255" t="n">
        <v>426.4</v>
      </c>
      <c r="I255">
        <f>G255-H255</f>
        <v/>
      </c>
    </row>
    <row r="256">
      <c r="A256" t="inlineStr">
        <is>
          <t>VB-0115</t>
        </is>
      </c>
      <c r="B256" t="inlineStr">
        <is>
          <t>Vessbank</t>
        </is>
      </c>
      <c r="C256" t="inlineStr">
        <is>
          <t>covered</t>
        </is>
      </c>
      <c r="D256" t="n">
        <v>32</v>
      </c>
      <c r="E256">
        <f>ROUNDUP(D256, 0)</f>
        <v/>
      </c>
      <c r="F256">
        <f>IF(LOWER(C256)="covered", 10.40, 7.55)</f>
        <v/>
      </c>
      <c r="G256">
        <f>E256*F256</f>
        <v/>
      </c>
      <c r="H256" t="n">
        <v>332.8</v>
      </c>
      <c r="I256">
        <f>G256-H256</f>
        <v/>
      </c>
    </row>
    <row r="257">
      <c r="A257" t="inlineStr">
        <is>
          <t>VB-0116</t>
        </is>
      </c>
      <c r="B257" t="inlineStr">
        <is>
          <t>Vessbank</t>
        </is>
      </c>
      <c r="C257" t="inlineStr">
        <is>
          <t>covered</t>
        </is>
      </c>
      <c r="D257" t="n">
        <v>54.6</v>
      </c>
      <c r="E257">
        <f>ROUNDUP(D257, 0)</f>
        <v/>
      </c>
      <c r="F257">
        <f>IF(LOWER(C257)="covered", 10.40, 7.55)</f>
        <v/>
      </c>
      <c r="G257">
        <f>E257*F257</f>
        <v/>
      </c>
      <c r="H257" t="n">
        <v>572</v>
      </c>
      <c r="I257">
        <f>G257-H257</f>
        <v/>
      </c>
    </row>
    <row r="258">
      <c r="A258" t="inlineStr">
        <is>
          <t>VB-0117</t>
        </is>
      </c>
      <c r="B258" t="inlineStr">
        <is>
          <t>Vessbank</t>
        </is>
      </c>
      <c r="C258" t="inlineStr">
        <is>
          <t>covered</t>
        </is>
      </c>
      <c r="D258" t="n">
        <v>53.2</v>
      </c>
      <c r="E258">
        <f>ROUNDUP(D258, 0)</f>
        <v/>
      </c>
      <c r="F258">
        <f>IF(LOWER(C258)="covered", 10.40, 7.55)</f>
        <v/>
      </c>
      <c r="G258">
        <f>E258*F258</f>
        <v/>
      </c>
      <c r="H258" t="n">
        <v>561.6</v>
      </c>
      <c r="I258">
        <f>G258-H258</f>
        <v/>
      </c>
    </row>
    <row r="259">
      <c r="A259" t="inlineStr">
        <is>
          <t>VB-0118</t>
        </is>
      </c>
      <c r="B259" t="inlineStr">
        <is>
          <t>Vessbank</t>
        </is>
      </c>
      <c r="C259" t="inlineStr">
        <is>
          <t>covered</t>
        </is>
      </c>
      <c r="D259" t="n">
        <v>44</v>
      </c>
      <c r="E259">
        <f>ROUNDUP(D259, 0)</f>
        <v/>
      </c>
      <c r="F259">
        <f>IF(LOWER(C259)="covered", 10.40, 7.55)</f>
        <v/>
      </c>
      <c r="G259">
        <f>E259*F259</f>
        <v/>
      </c>
      <c r="H259" t="n">
        <v>457.6</v>
      </c>
      <c r="I259">
        <f>G259-H259</f>
        <v/>
      </c>
    </row>
    <row r="260">
      <c r="A260" t="inlineStr">
        <is>
          <t>VB-0119</t>
        </is>
      </c>
      <c r="B260" t="inlineStr">
        <is>
          <t>Vessbank</t>
        </is>
      </c>
      <c r="C260" t="inlineStr">
        <is>
          <t>covered</t>
        </is>
      </c>
      <c r="D260" t="n">
        <v>61.3</v>
      </c>
      <c r="E260">
        <f>ROUNDUP(D260, 0)</f>
        <v/>
      </c>
      <c r="F260">
        <f>IF(LOWER(C260)="covered", 10.40, 7.55)</f>
        <v/>
      </c>
      <c r="G260">
        <f>E260*F260</f>
        <v/>
      </c>
      <c r="H260" t="n">
        <v>644.8</v>
      </c>
      <c r="I260">
        <f>G260-H260</f>
        <v/>
      </c>
    </row>
    <row r="261">
      <c r="A261" t="inlineStr">
        <is>
          <t>VB-0120</t>
        </is>
      </c>
      <c r="B261" t="inlineStr">
        <is>
          <t>Vessbank</t>
        </is>
      </c>
      <c r="C261" t="inlineStr">
        <is>
          <t>covered</t>
        </is>
      </c>
      <c r="D261" t="n">
        <v>47.6</v>
      </c>
      <c r="E261">
        <f>ROUNDUP(D261, 0)</f>
        <v/>
      </c>
      <c r="F261">
        <f>IF(LOWER(C261)="covered", 10.40, 7.55)</f>
        <v/>
      </c>
      <c r="G261">
        <f>E261*F261</f>
        <v/>
      </c>
      <c r="H261" t="n">
        <v>499.2</v>
      </c>
      <c r="I261">
        <f>G261-H261</f>
        <v/>
      </c>
    </row>
    <row r="262">
      <c r="A262" t="inlineStr">
        <is>
          <t>VB-0121</t>
        </is>
      </c>
      <c r="B262" t="inlineStr">
        <is>
          <t>Vessbank</t>
        </is>
      </c>
      <c r="C262" t="inlineStr">
        <is>
          <t>covered</t>
        </is>
      </c>
      <c r="D262" t="n">
        <v>56.3</v>
      </c>
      <c r="E262">
        <f>ROUNDUP(D262, 0)</f>
        <v/>
      </c>
      <c r="F262">
        <f>IF(LOWER(C262)="covered", 10.40, 7.55)</f>
        <v/>
      </c>
      <c r="G262">
        <f>E262*F262</f>
        <v/>
      </c>
      <c r="H262" t="n">
        <v>592.8</v>
      </c>
      <c r="I262">
        <f>G262-H262</f>
        <v/>
      </c>
    </row>
    <row r="263">
      <c r="A263" t="inlineStr">
        <is>
          <t>VB-0122</t>
        </is>
      </c>
      <c r="B263" t="inlineStr">
        <is>
          <t>Vessbank</t>
        </is>
      </c>
      <c r="C263" t="inlineStr">
        <is>
          <t>covered</t>
        </is>
      </c>
      <c r="D263" t="n">
        <v>31.4</v>
      </c>
      <c r="E263">
        <f>ROUNDUP(D263, 0)</f>
        <v/>
      </c>
      <c r="F263">
        <f>IF(LOWER(C263)="covered", 10.40, 7.55)</f>
        <v/>
      </c>
      <c r="G263">
        <f>E263*F263</f>
        <v/>
      </c>
      <c r="H263" t="n">
        <v>416</v>
      </c>
      <c r="I263">
        <f>G263-H263</f>
        <v/>
      </c>
    </row>
    <row r="264">
      <c r="A264" t="inlineStr">
        <is>
          <t>VB-0123</t>
        </is>
      </c>
      <c r="B264" t="inlineStr">
        <is>
          <t>Vessbank</t>
        </is>
      </c>
      <c r="C264" t="inlineStr">
        <is>
          <t>covered</t>
        </is>
      </c>
      <c r="D264" t="n">
        <v>58.8</v>
      </c>
      <c r="E264">
        <f>ROUNDUP(D264, 0)</f>
        <v/>
      </c>
      <c r="F264">
        <f>IF(LOWER(C264)="covered", 10.40, 7.55)</f>
        <v/>
      </c>
      <c r="G264">
        <f>E264*F264</f>
        <v/>
      </c>
      <c r="H264" t="n">
        <v>613.6</v>
      </c>
      <c r="I264">
        <f>G264-H264</f>
        <v/>
      </c>
    </row>
    <row r="265">
      <c r="A265" t="inlineStr">
        <is>
          <t>VB-0124</t>
        </is>
      </c>
      <c r="B265" t="inlineStr">
        <is>
          <t>Vessbank</t>
        </is>
      </c>
      <c r="C265" t="inlineStr">
        <is>
          <t>covered</t>
        </is>
      </c>
      <c r="D265" t="n">
        <v>46.9</v>
      </c>
      <c r="E265">
        <f>ROUNDUP(D265, 0)</f>
        <v/>
      </c>
      <c r="F265">
        <f>IF(LOWER(C265)="covered", 10.40, 7.55)</f>
        <v/>
      </c>
      <c r="G265">
        <f>E265*F265</f>
        <v/>
      </c>
      <c r="H265" t="n">
        <v>488.8</v>
      </c>
      <c r="I265">
        <f>G265-H265</f>
        <v/>
      </c>
    </row>
    <row r="266">
      <c r="A266" t="inlineStr">
        <is>
          <t>VB-0201</t>
        </is>
      </c>
      <c r="B266" t="inlineStr">
        <is>
          <t>Vessbank</t>
        </is>
      </c>
      <c r="C266" t="inlineStr">
        <is>
          <t>covered</t>
        </is>
      </c>
      <c r="D266" t="n">
        <v>42.3</v>
      </c>
      <c r="E266">
        <f>ROUNDUP(D266, 0)</f>
        <v/>
      </c>
      <c r="F266">
        <f>IF(LOWER(C266)="covered", 10.40, 7.55)</f>
        <v/>
      </c>
      <c r="G266">
        <f>E266*F266</f>
        <v/>
      </c>
      <c r="H266" t="n">
        <v>447.2</v>
      </c>
      <c r="I266">
        <f>G266-H266</f>
        <v/>
      </c>
    </row>
    <row r="267">
      <c r="A267" t="inlineStr">
        <is>
          <t>VB-0202</t>
        </is>
      </c>
      <c r="B267" t="inlineStr">
        <is>
          <t>Vessbank</t>
        </is>
      </c>
      <c r="C267" t="inlineStr">
        <is>
          <t>covered</t>
        </is>
      </c>
      <c r="D267" t="n">
        <v>27.2</v>
      </c>
      <c r="E267">
        <f>ROUNDUP(D267, 0)</f>
        <v/>
      </c>
      <c r="F267">
        <f>IF(LOWER(C267)="covered", 10.40, 7.55)</f>
        <v/>
      </c>
      <c r="G267">
        <f>E267*F267</f>
        <v/>
      </c>
      <c r="H267" t="n">
        <v>416</v>
      </c>
      <c r="I267">
        <f>G267-H267</f>
        <v/>
      </c>
    </row>
    <row r="268">
      <c r="A268" t="inlineStr">
        <is>
          <t>VB-0203</t>
        </is>
      </c>
      <c r="B268" t="inlineStr">
        <is>
          <t>Vessbank</t>
        </is>
      </c>
      <c r="C268" t="inlineStr">
        <is>
          <t>covered</t>
        </is>
      </c>
      <c r="D268" t="n">
        <v>36</v>
      </c>
      <c r="E268">
        <f>ROUNDUP(D268, 0)</f>
        <v/>
      </c>
      <c r="F268">
        <f>IF(LOWER(C268)="covered", 10.40, 7.55)</f>
        <v/>
      </c>
      <c r="G268">
        <f>E268*F268</f>
        <v/>
      </c>
      <c r="H268" t="n">
        <v>374.4</v>
      </c>
      <c r="I268">
        <f>G268-H268</f>
        <v/>
      </c>
    </row>
    <row r="269">
      <c r="A269" t="inlineStr">
        <is>
          <t>VB-0204</t>
        </is>
      </c>
      <c r="B269" t="inlineStr">
        <is>
          <t>Vessbank</t>
        </is>
      </c>
      <c r="C269" t="inlineStr">
        <is>
          <t>covered</t>
        </is>
      </c>
      <c r="D269" t="n">
        <v>41.7</v>
      </c>
      <c r="E269">
        <f>ROUNDUP(D269, 0)</f>
        <v/>
      </c>
      <c r="F269">
        <f>IF(LOWER(C269)="covered", 10.40, 7.55)</f>
        <v/>
      </c>
      <c r="G269">
        <f>E269*F269</f>
        <v/>
      </c>
      <c r="H269" t="n">
        <v>436.8</v>
      </c>
      <c r="I269">
        <f>G269-H269</f>
        <v/>
      </c>
    </row>
    <row r="270">
      <c r="A270" t="inlineStr">
        <is>
          <t>VB-0205</t>
        </is>
      </c>
      <c r="B270" t="inlineStr">
        <is>
          <t>Vessbank</t>
        </is>
      </c>
      <c r="C270" t="inlineStr">
        <is>
          <t>covered</t>
        </is>
      </c>
      <c r="D270" t="n">
        <v>34.3</v>
      </c>
      <c r="E270">
        <f>ROUNDUP(D270, 0)</f>
        <v/>
      </c>
      <c r="F270">
        <f>IF(LOWER(C270)="covered", 10.40, 7.55)</f>
        <v/>
      </c>
      <c r="G270">
        <f>E270*F270</f>
        <v/>
      </c>
      <c r="H270" t="n">
        <v>364</v>
      </c>
      <c r="I270">
        <f>G270-H270</f>
        <v/>
      </c>
    </row>
    <row r="271">
      <c r="A271" t="inlineStr">
        <is>
          <t>VB-0206</t>
        </is>
      </c>
      <c r="B271" t="inlineStr">
        <is>
          <t>Vessbank</t>
        </is>
      </c>
      <c r="C271" t="inlineStr">
        <is>
          <t>covered</t>
        </is>
      </c>
      <c r="D271" t="n">
        <v>22.5</v>
      </c>
      <c r="E271">
        <f>ROUNDUP(D271, 0)</f>
        <v/>
      </c>
      <c r="F271">
        <f>IF(LOWER(C271)="covered", 10.40, 7.55)</f>
        <v/>
      </c>
      <c r="G271">
        <f>E271*F271</f>
        <v/>
      </c>
      <c r="H271" t="n">
        <v>291.2</v>
      </c>
      <c r="I271">
        <f>G271-H271</f>
        <v/>
      </c>
    </row>
    <row r="272">
      <c r="A272" t="inlineStr">
        <is>
          <t>VB-0207</t>
        </is>
      </c>
      <c r="B272" t="inlineStr">
        <is>
          <t>Vessbank</t>
        </is>
      </c>
      <c r="C272" t="inlineStr">
        <is>
          <t>covered</t>
        </is>
      </c>
      <c r="D272" t="n">
        <v>49.1</v>
      </c>
      <c r="E272">
        <f>ROUNDUP(D272, 0)</f>
        <v/>
      </c>
      <c r="F272">
        <f>IF(LOWER(C272)="covered", 10.40, 7.55)</f>
        <v/>
      </c>
      <c r="G272">
        <f>E272*F272</f>
        <v/>
      </c>
      <c r="H272" t="n">
        <v>520</v>
      </c>
      <c r="I272">
        <f>G272-H272</f>
        <v/>
      </c>
    </row>
    <row r="273">
      <c r="A273" t="inlineStr">
        <is>
          <t>VB-0208</t>
        </is>
      </c>
      <c r="B273" t="inlineStr">
        <is>
          <t>Vessbank</t>
        </is>
      </c>
      <c r="C273" t="inlineStr">
        <is>
          <t>covered</t>
        </is>
      </c>
      <c r="D273" t="n">
        <v>21.8</v>
      </c>
      <c r="E273">
        <f>ROUNDUP(D273, 0)</f>
        <v/>
      </c>
      <c r="F273">
        <f>IF(LOWER(C273)="covered", 10.40, 7.55)</f>
        <v/>
      </c>
      <c r="G273">
        <f>E273*F273</f>
        <v/>
      </c>
      <c r="H273" t="n">
        <v>416</v>
      </c>
      <c r="I273">
        <f>G273-H273</f>
        <v/>
      </c>
    </row>
    <row r="274">
      <c r="A274" t="inlineStr">
        <is>
          <t>VB-0209</t>
        </is>
      </c>
      <c r="B274" t="inlineStr">
        <is>
          <t>Vessbank</t>
        </is>
      </c>
      <c r="C274" t="inlineStr">
        <is>
          <t>covered</t>
        </is>
      </c>
      <c r="D274" t="n">
        <v>38.1</v>
      </c>
      <c r="E274">
        <f>ROUNDUP(D274, 0)</f>
        <v/>
      </c>
      <c r="F274">
        <f>IF(LOWER(C274)="covered", 10.40, 7.55)</f>
        <v/>
      </c>
      <c r="G274">
        <f>E274*F274</f>
        <v/>
      </c>
      <c r="H274" t="n">
        <v>405.6</v>
      </c>
      <c r="I274">
        <f>G274-H274</f>
        <v/>
      </c>
    </row>
    <row r="275">
      <c r="A275" t="inlineStr">
        <is>
          <t>VB-0210</t>
        </is>
      </c>
      <c r="B275" t="inlineStr">
        <is>
          <t>Vessbank</t>
        </is>
      </c>
      <c r="C275" t="inlineStr">
        <is>
          <t>covered</t>
        </is>
      </c>
      <c r="D275" t="n">
        <v>20.9</v>
      </c>
      <c r="E275">
        <f>ROUNDUP(D275, 0)</f>
        <v/>
      </c>
      <c r="F275">
        <f>IF(LOWER(C275)="covered", 10.40, 7.55)</f>
        <v/>
      </c>
      <c r="G275">
        <f>E275*F275</f>
        <v/>
      </c>
      <c r="H275" t="n">
        <v>291.2</v>
      </c>
      <c r="I275">
        <f>G275-H275</f>
        <v/>
      </c>
    </row>
    <row r="276">
      <c r="A276" t="inlineStr">
        <is>
          <t>VB-0211</t>
        </is>
      </c>
      <c r="B276" t="inlineStr">
        <is>
          <t>Vessbank</t>
        </is>
      </c>
      <c r="C276" t="inlineStr">
        <is>
          <t>covered</t>
        </is>
      </c>
      <c r="D276" t="n">
        <v>38.3</v>
      </c>
      <c r="E276">
        <f>ROUNDUP(D276, 0)</f>
        <v/>
      </c>
      <c r="F276">
        <f>IF(LOWER(C276)="covered", 10.40, 7.55)</f>
        <v/>
      </c>
      <c r="G276">
        <f>E276*F276</f>
        <v/>
      </c>
      <c r="H276" t="n">
        <v>416</v>
      </c>
      <c r="I276">
        <f>G276-H276</f>
        <v/>
      </c>
    </row>
    <row r="277">
      <c r="A277" t="inlineStr">
        <is>
          <t>VB-0212</t>
        </is>
      </c>
      <c r="B277" t="inlineStr">
        <is>
          <t>Vessbank</t>
        </is>
      </c>
      <c r="C277" t="inlineStr">
        <is>
          <t>covered</t>
        </is>
      </c>
      <c r="D277" t="n">
        <v>57.3</v>
      </c>
      <c r="E277">
        <f>ROUNDUP(D277, 0)</f>
        <v/>
      </c>
      <c r="F277">
        <f>IF(LOWER(C277)="covered", 10.40, 7.55)</f>
        <v/>
      </c>
      <c r="G277">
        <f>E277*F277</f>
        <v/>
      </c>
      <c r="H277" t="n">
        <v>603.2</v>
      </c>
      <c r="I277">
        <f>G277-H277</f>
        <v/>
      </c>
    </row>
    <row r="278">
      <c r="A278" t="inlineStr">
        <is>
          <t>VB-0213</t>
        </is>
      </c>
      <c r="B278" t="inlineStr">
        <is>
          <t>Vessbank</t>
        </is>
      </c>
      <c r="C278" t="inlineStr">
        <is>
          <t>covered</t>
        </is>
      </c>
      <c r="D278" t="n">
        <v>38.2</v>
      </c>
      <c r="E278">
        <f>ROUNDUP(D278, 0)</f>
        <v/>
      </c>
      <c r="F278">
        <f>IF(LOWER(C278)="covered", 10.40, 7.55)</f>
        <v/>
      </c>
      <c r="G278">
        <f>E278*F278</f>
        <v/>
      </c>
      <c r="H278" t="n">
        <v>405.6</v>
      </c>
      <c r="I278">
        <f>G278-H278</f>
        <v/>
      </c>
    </row>
    <row r="279">
      <c r="A279" t="inlineStr">
        <is>
          <t>VB-0214</t>
        </is>
      </c>
      <c r="B279" t="inlineStr">
        <is>
          <t>Vessbank</t>
        </is>
      </c>
      <c r="C279" t="inlineStr">
        <is>
          <t>covered</t>
        </is>
      </c>
      <c r="D279" t="n">
        <v>60.4</v>
      </c>
      <c r="E279">
        <f>ROUNDUP(D279, 0)</f>
        <v/>
      </c>
      <c r="F279">
        <f>IF(LOWER(C279)="covered", 10.40, 7.55)</f>
        <v/>
      </c>
      <c r="G279">
        <f>E279*F279</f>
        <v/>
      </c>
      <c r="H279" t="n">
        <v>634.4</v>
      </c>
      <c r="I279">
        <f>G279-H279</f>
        <v/>
      </c>
    </row>
    <row r="280">
      <c r="A280" t="inlineStr">
        <is>
          <t>VB-0215</t>
        </is>
      </c>
      <c r="B280" t="inlineStr">
        <is>
          <t>Vessbank</t>
        </is>
      </c>
      <c r="C280" t="inlineStr">
        <is>
          <t>covered</t>
        </is>
      </c>
      <c r="D280" t="n">
        <v>18.3</v>
      </c>
      <c r="E280">
        <f>ROUNDUP(D280, 0)</f>
        <v/>
      </c>
      <c r="F280">
        <f>IF(LOWER(C280)="covered", 10.40, 7.55)</f>
        <v/>
      </c>
      <c r="G280">
        <f>E280*F280</f>
        <v/>
      </c>
      <c r="H280" t="n">
        <v>291.2</v>
      </c>
      <c r="I280">
        <f>G280-H280</f>
        <v/>
      </c>
    </row>
    <row r="281">
      <c r="A281" t="inlineStr">
        <is>
          <t>VB-0216</t>
        </is>
      </c>
      <c r="B281" t="inlineStr">
        <is>
          <t>Vessbank</t>
        </is>
      </c>
      <c r="C281" t="inlineStr">
        <is>
          <t>covered</t>
        </is>
      </c>
      <c r="D281" t="n">
        <v>30.8</v>
      </c>
      <c r="E281">
        <f>ROUNDUP(D281, 0)</f>
        <v/>
      </c>
      <c r="F281">
        <f>IF(LOWER(C281)="covered", 10.40, 7.55)</f>
        <v/>
      </c>
      <c r="G281">
        <f>E281*F281</f>
        <v/>
      </c>
      <c r="H281" t="n">
        <v>416</v>
      </c>
      <c r="I281">
        <f>G281-H281</f>
        <v/>
      </c>
    </row>
    <row r="282">
      <c r="A282" t="inlineStr">
        <is>
          <t>VB-0217</t>
        </is>
      </c>
      <c r="B282" t="inlineStr">
        <is>
          <t>Vessbank</t>
        </is>
      </c>
      <c r="C282" t="inlineStr">
        <is>
          <t>covered</t>
        </is>
      </c>
      <c r="D282" t="n">
        <v>38.5</v>
      </c>
      <c r="E282">
        <f>ROUNDUP(D282, 0)</f>
        <v/>
      </c>
      <c r="F282">
        <f>IF(LOWER(C282)="covered", 10.40, 7.55)</f>
        <v/>
      </c>
      <c r="G282">
        <f>E282*F282</f>
        <v/>
      </c>
      <c r="H282" t="n">
        <v>405.6</v>
      </c>
      <c r="I282">
        <f>G282-H282</f>
        <v/>
      </c>
    </row>
    <row r="283">
      <c r="A283" t="inlineStr">
        <is>
          <t>VB-0218</t>
        </is>
      </c>
      <c r="B283" t="inlineStr">
        <is>
          <t>Vessbank</t>
        </is>
      </c>
      <c r="C283" t="inlineStr">
        <is>
          <t>covered</t>
        </is>
      </c>
      <c r="D283" t="n">
        <v>27</v>
      </c>
      <c r="E283">
        <f>ROUNDUP(D283, 0)</f>
        <v/>
      </c>
      <c r="F283">
        <f>IF(LOWER(C283)="covered", 10.40, 7.55)</f>
        <v/>
      </c>
      <c r="G283">
        <f>E283*F283</f>
        <v/>
      </c>
      <c r="H283" t="n">
        <v>280.8</v>
      </c>
      <c r="I283">
        <f>G283-H283</f>
        <v/>
      </c>
    </row>
    <row r="284">
      <c r="A284" t="inlineStr">
        <is>
          <t>VB-0219</t>
        </is>
      </c>
      <c r="B284" t="inlineStr">
        <is>
          <t>Vessbank</t>
        </is>
      </c>
      <c r="C284" t="inlineStr">
        <is>
          <t>covered</t>
        </is>
      </c>
      <c r="D284" t="n">
        <v>47.7</v>
      </c>
      <c r="E284">
        <f>ROUNDUP(D284, 0)</f>
        <v/>
      </c>
      <c r="F284">
        <f>IF(LOWER(C284)="covered", 10.40, 7.55)</f>
        <v/>
      </c>
      <c r="G284">
        <f>E284*F284</f>
        <v/>
      </c>
      <c r="H284" t="n">
        <v>499.2</v>
      </c>
      <c r="I284">
        <f>G284-H284</f>
        <v/>
      </c>
    </row>
    <row r="285">
      <c r="A285" t="inlineStr">
        <is>
          <t>VB-0220</t>
        </is>
      </c>
      <c r="B285" t="inlineStr">
        <is>
          <t>Vessbank</t>
        </is>
      </c>
      <c r="C285" t="inlineStr">
        <is>
          <t>covered</t>
        </is>
      </c>
      <c r="D285" t="n">
        <v>24.4</v>
      </c>
      <c r="E285">
        <f>ROUNDUP(D285, 0)</f>
        <v/>
      </c>
      <c r="F285">
        <f>IF(LOWER(C285)="covered", 10.40, 7.55)</f>
        <v/>
      </c>
      <c r="G285">
        <f>E285*F285</f>
        <v/>
      </c>
      <c r="H285" t="n">
        <v>291.2</v>
      </c>
      <c r="I285">
        <f>G285-H285</f>
        <v/>
      </c>
    </row>
    <row r="286">
      <c r="A286" t="inlineStr">
        <is>
          <t>VB-0221</t>
        </is>
      </c>
      <c r="B286" t="inlineStr">
        <is>
          <t>Vessbank</t>
        </is>
      </c>
      <c r="C286" t="inlineStr">
        <is>
          <t>covered</t>
        </is>
      </c>
      <c r="D286" t="n">
        <v>31.2</v>
      </c>
      <c r="E286">
        <f>ROUNDUP(D286, 0)</f>
        <v/>
      </c>
      <c r="F286">
        <f>IF(LOWER(C286)="covered", 10.40, 7.55)</f>
        <v/>
      </c>
      <c r="G286">
        <f>E286*F286</f>
        <v/>
      </c>
      <c r="H286" t="n">
        <v>332.8</v>
      </c>
      <c r="I286">
        <f>G286-H286</f>
        <v/>
      </c>
    </row>
    <row r="287">
      <c r="A287" t="inlineStr">
        <is>
          <t>VB-0222</t>
        </is>
      </c>
      <c r="B287" t="inlineStr">
        <is>
          <t>Vessbank</t>
        </is>
      </c>
      <c r="C287" t="inlineStr">
        <is>
          <t>covered</t>
        </is>
      </c>
      <c r="D287" t="n">
        <v>61.3</v>
      </c>
      <c r="E287">
        <f>ROUNDUP(D287, 0)</f>
        <v/>
      </c>
      <c r="F287">
        <f>IF(LOWER(C287)="covered", 10.40, 7.55)</f>
        <v/>
      </c>
      <c r="G287">
        <f>E287*F287</f>
        <v/>
      </c>
      <c r="H287" t="n">
        <v>644.8</v>
      </c>
      <c r="I287">
        <f>G287-H287</f>
        <v/>
      </c>
    </row>
    <row r="288">
      <c r="A288" t="inlineStr">
        <is>
          <t>VB-0223</t>
        </is>
      </c>
      <c r="B288" t="inlineStr">
        <is>
          <t>Vessbank</t>
        </is>
      </c>
      <c r="C288" t="inlineStr">
        <is>
          <t>covered</t>
        </is>
      </c>
      <c r="D288" t="n">
        <v>31.4</v>
      </c>
      <c r="E288">
        <f>ROUNDUP(D288, 0)</f>
        <v/>
      </c>
      <c r="F288">
        <f>IF(LOWER(C288)="covered", 10.40, 7.55)</f>
        <v/>
      </c>
      <c r="G288">
        <f>E288*F288</f>
        <v/>
      </c>
      <c r="H288" t="n">
        <v>332.8</v>
      </c>
      <c r="I288">
        <f>G288-H288</f>
        <v/>
      </c>
    </row>
    <row r="289">
      <c r="A289" t="inlineStr">
        <is>
          <t>VB-0224</t>
        </is>
      </c>
      <c r="B289" t="inlineStr">
        <is>
          <t>Vessbank</t>
        </is>
      </c>
      <c r="C289" t="inlineStr">
        <is>
          <t>covered</t>
        </is>
      </c>
      <c r="D289" t="n">
        <v>27</v>
      </c>
      <c r="E289">
        <f>ROUNDUP(D289, 0)</f>
        <v/>
      </c>
      <c r="F289">
        <f>IF(LOWER(C289)="covered", 10.40, 7.55)</f>
        <v/>
      </c>
      <c r="G289">
        <f>E289*F289</f>
        <v/>
      </c>
      <c r="H289" t="n">
        <v>291.2</v>
      </c>
      <c r="I289">
        <f>G289-H289</f>
        <v/>
      </c>
    </row>
    <row r="290">
      <c r="A290" t="inlineStr">
        <is>
          <t>VB-0302</t>
        </is>
      </c>
      <c r="B290" t="inlineStr">
        <is>
          <t>Vessbank</t>
        </is>
      </c>
      <c r="C290" t="inlineStr">
        <is>
          <t>covered</t>
        </is>
      </c>
      <c r="D290" t="n">
        <v>41.3</v>
      </c>
      <c r="E290">
        <f>ROUNDUP(D290, 0)</f>
        <v/>
      </c>
      <c r="F290">
        <f>IF(LOWER(C290)="covered", 10.40, 7.55)</f>
        <v/>
      </c>
      <c r="G290">
        <f>E290*F290</f>
        <v/>
      </c>
      <c r="H290" t="n">
        <v>436.8</v>
      </c>
      <c r="I290">
        <f>G290-H290</f>
        <v/>
      </c>
    </row>
    <row r="291">
      <c r="A291" t="inlineStr">
        <is>
          <t>VB-0303</t>
        </is>
      </c>
      <c r="B291" t="inlineStr">
        <is>
          <t>Vessbank</t>
        </is>
      </c>
      <c r="C291" t="inlineStr">
        <is>
          <t>covered</t>
        </is>
      </c>
      <c r="D291" t="n">
        <v>30.5</v>
      </c>
      <c r="E291">
        <f>ROUNDUP(D291, 0)</f>
        <v/>
      </c>
      <c r="F291">
        <f>IF(LOWER(C291)="covered", 10.40, 7.55)</f>
        <v/>
      </c>
      <c r="G291">
        <f>E291*F291</f>
        <v/>
      </c>
      <c r="H291" t="n">
        <v>332.8</v>
      </c>
      <c r="I291">
        <f>G291-H291</f>
        <v/>
      </c>
    </row>
    <row r="292">
      <c r="A292" t="inlineStr">
        <is>
          <t>VB-0304</t>
        </is>
      </c>
      <c r="B292" t="inlineStr">
        <is>
          <t>Vessbank</t>
        </is>
      </c>
      <c r="C292" t="inlineStr">
        <is>
          <t>covered</t>
        </is>
      </c>
      <c r="D292" t="n">
        <v>32.2</v>
      </c>
      <c r="E292">
        <f>ROUNDUP(D292, 0)</f>
        <v/>
      </c>
      <c r="F292">
        <f>IF(LOWER(C292)="covered", 10.40, 7.55)</f>
        <v/>
      </c>
      <c r="G292">
        <f>E292*F292</f>
        <v/>
      </c>
      <c r="H292" t="n">
        <v>343.2</v>
      </c>
      <c r="I292">
        <f>G292-H292</f>
        <v/>
      </c>
    </row>
    <row r="293">
      <c r="A293" t="inlineStr">
        <is>
          <t>VB-0305</t>
        </is>
      </c>
      <c r="B293" t="inlineStr">
        <is>
          <t>Vessbank</t>
        </is>
      </c>
      <c r="C293" t="inlineStr">
        <is>
          <t>covered</t>
        </is>
      </c>
      <c r="D293" t="n">
        <v>45.8</v>
      </c>
      <c r="E293">
        <f>ROUNDUP(D293, 0)</f>
        <v/>
      </c>
      <c r="F293">
        <f>IF(LOWER(C293)="covered", 10.40, 7.55)</f>
        <v/>
      </c>
      <c r="G293">
        <f>E293*F293</f>
        <v/>
      </c>
      <c r="H293" t="n">
        <v>478.4</v>
      </c>
      <c r="I293">
        <f>G293-H293</f>
        <v/>
      </c>
    </row>
    <row r="294">
      <c r="A294" t="inlineStr">
        <is>
          <t>VB-0306</t>
        </is>
      </c>
      <c r="B294" t="inlineStr">
        <is>
          <t>Vessbank</t>
        </is>
      </c>
      <c r="C294" t="inlineStr">
        <is>
          <t>covered</t>
        </is>
      </c>
      <c r="D294" t="n">
        <v>18.3</v>
      </c>
      <c r="E294">
        <f>ROUNDUP(D294, 0)</f>
        <v/>
      </c>
      <c r="F294">
        <f>IF(LOWER(C294)="covered", 10.40, 7.55)</f>
        <v/>
      </c>
      <c r="G294">
        <f>E294*F294</f>
        <v/>
      </c>
      <c r="H294" t="n">
        <v>291.2</v>
      </c>
      <c r="I294">
        <f>G294-H294</f>
        <v/>
      </c>
    </row>
    <row r="295">
      <c r="A295" t="inlineStr">
        <is>
          <t>VB-0307</t>
        </is>
      </c>
      <c r="B295" t="inlineStr">
        <is>
          <t>Vessbank</t>
        </is>
      </c>
      <c r="C295" t="inlineStr">
        <is>
          <t>covered</t>
        </is>
      </c>
      <c r="D295" t="n">
        <v>32</v>
      </c>
      <c r="E295">
        <f>ROUNDUP(D295, 0)</f>
        <v/>
      </c>
      <c r="F295">
        <f>IF(LOWER(C295)="covered", 10.40, 7.55)</f>
        <v/>
      </c>
      <c r="G295">
        <f>E295*F295</f>
        <v/>
      </c>
      <c r="H295" t="n">
        <v>332.8</v>
      </c>
      <c r="I295">
        <f>G295-H295</f>
        <v/>
      </c>
    </row>
    <row r="296">
      <c r="A296" t="inlineStr">
        <is>
          <t>VB-0308</t>
        </is>
      </c>
      <c r="B296" t="inlineStr">
        <is>
          <t>Vessbank</t>
        </is>
      </c>
      <c r="C296" t="inlineStr">
        <is>
          <t>covered</t>
        </is>
      </c>
      <c r="D296" t="n">
        <v>41.8</v>
      </c>
      <c r="E296">
        <f>ROUNDUP(D296, 0)</f>
        <v/>
      </c>
      <c r="F296">
        <f>IF(LOWER(C296)="covered", 10.40, 7.55)</f>
        <v/>
      </c>
      <c r="G296">
        <f>E296*F296</f>
        <v/>
      </c>
      <c r="H296" t="n">
        <v>436.8</v>
      </c>
      <c r="I296">
        <f>G296-H296</f>
        <v/>
      </c>
    </row>
    <row r="297">
      <c r="A297" t="inlineStr">
        <is>
          <t>VB-0309</t>
        </is>
      </c>
      <c r="B297" t="inlineStr">
        <is>
          <t>Vessbank</t>
        </is>
      </c>
      <c r="C297" t="inlineStr">
        <is>
          <t>covered</t>
        </is>
      </c>
      <c r="D297" t="n">
        <v>20.6</v>
      </c>
      <c r="E297">
        <f>ROUNDUP(D297, 0)</f>
        <v/>
      </c>
      <c r="F297">
        <f>IF(LOWER(C297)="covered", 10.40, 7.55)</f>
        <v/>
      </c>
      <c r="G297">
        <f>E297*F297</f>
        <v/>
      </c>
      <c r="H297" t="n">
        <v>374.4</v>
      </c>
      <c r="I297">
        <f>G297-H297</f>
        <v/>
      </c>
    </row>
    <row r="298">
      <c r="A298" t="inlineStr">
        <is>
          <t>VB-0310</t>
        </is>
      </c>
      <c r="B298" t="inlineStr">
        <is>
          <t>Vessbank</t>
        </is>
      </c>
      <c r="C298" t="inlineStr">
        <is>
          <t>covered</t>
        </is>
      </c>
      <c r="D298" t="n">
        <v>38.6</v>
      </c>
      <c r="E298">
        <f>ROUNDUP(D298, 0)</f>
        <v/>
      </c>
      <c r="F298">
        <f>IF(LOWER(C298)="covered", 10.40, 7.55)</f>
        <v/>
      </c>
      <c r="G298">
        <f>E298*F298</f>
        <v/>
      </c>
      <c r="H298" t="n">
        <v>405.6</v>
      </c>
      <c r="I298">
        <f>G298-H298</f>
        <v/>
      </c>
    </row>
    <row r="299">
      <c r="A299" t="inlineStr">
        <is>
          <t>VB-0311</t>
        </is>
      </c>
      <c r="B299" t="inlineStr">
        <is>
          <t>Vessbank</t>
        </is>
      </c>
      <c r="C299" t="inlineStr">
        <is>
          <t>covered</t>
        </is>
      </c>
      <c r="D299" t="n">
        <v>46.6</v>
      </c>
      <c r="E299">
        <f>ROUNDUP(D299, 0)</f>
        <v/>
      </c>
      <c r="F299">
        <f>IF(LOWER(C299)="covered", 10.40, 7.55)</f>
        <v/>
      </c>
      <c r="G299">
        <f>E299*F299</f>
        <v/>
      </c>
      <c r="H299" t="n">
        <v>488.8</v>
      </c>
      <c r="I299">
        <f>G299-H299</f>
        <v/>
      </c>
    </row>
    <row r="300">
      <c r="A300" t="inlineStr">
        <is>
          <t>VB-0312</t>
        </is>
      </c>
      <c r="B300" t="inlineStr">
        <is>
          <t>Vessbank</t>
        </is>
      </c>
      <c r="C300" t="inlineStr">
        <is>
          <t>covered</t>
        </is>
      </c>
      <c r="D300" t="n">
        <v>56.6</v>
      </c>
      <c r="E300">
        <f>ROUNDUP(D300, 0)</f>
        <v/>
      </c>
      <c r="F300">
        <f>IF(LOWER(C300)="covered", 10.40, 7.55)</f>
        <v/>
      </c>
      <c r="G300">
        <f>E300*F300</f>
        <v/>
      </c>
      <c r="H300" t="n">
        <v>592.8</v>
      </c>
      <c r="I300">
        <f>G300-H300</f>
        <v/>
      </c>
    </row>
    <row r="301">
      <c r="A301" t="inlineStr">
        <is>
          <t>VB-0314</t>
        </is>
      </c>
      <c r="B301" t="inlineStr">
        <is>
          <t>Vessbank</t>
        </is>
      </c>
      <c r="C301" t="inlineStr">
        <is>
          <t>covered</t>
        </is>
      </c>
      <c r="D301" t="n">
        <v>61.1</v>
      </c>
      <c r="E301">
        <f>ROUNDUP(D301, 0)</f>
        <v/>
      </c>
      <c r="F301">
        <f>IF(LOWER(C301)="covered", 10.40, 7.55)</f>
        <v/>
      </c>
      <c r="G301">
        <f>E301*F301</f>
        <v/>
      </c>
      <c r="H301" t="n">
        <v>644.8</v>
      </c>
      <c r="I301">
        <f>G301-H301</f>
        <v/>
      </c>
    </row>
    <row r="302">
      <c r="A302" t="inlineStr">
        <is>
          <t>VB-0315</t>
        </is>
      </c>
      <c r="B302" t="inlineStr">
        <is>
          <t>Vessbank</t>
        </is>
      </c>
      <c r="C302" t="inlineStr">
        <is>
          <t>covered</t>
        </is>
      </c>
      <c r="D302" t="n">
        <v>40</v>
      </c>
      <c r="E302">
        <f>ROUNDUP(D302, 0)</f>
        <v/>
      </c>
      <c r="F302">
        <f>IF(LOWER(C302)="covered", 10.40, 7.55)</f>
        <v/>
      </c>
      <c r="G302">
        <f>E302*F302</f>
        <v/>
      </c>
      <c r="H302" t="n">
        <v>416</v>
      </c>
      <c r="I302">
        <f>G302-H302</f>
        <v/>
      </c>
    </row>
    <row r="303">
      <c r="A303" t="inlineStr">
        <is>
          <t>VB-0316</t>
        </is>
      </c>
      <c r="B303" t="inlineStr">
        <is>
          <t>Vessbank</t>
        </is>
      </c>
      <c r="C303" t="inlineStr">
        <is>
          <t>covered</t>
        </is>
      </c>
      <c r="D303" t="n">
        <v>32.7</v>
      </c>
      <c r="E303">
        <f>ROUNDUP(D303, 0)</f>
        <v/>
      </c>
      <c r="F303">
        <f>IF(LOWER(C303)="covered", 10.40, 7.55)</f>
        <v/>
      </c>
      <c r="G303">
        <f>E303*F303</f>
        <v/>
      </c>
      <c r="H303" t="n">
        <v>374.4</v>
      </c>
      <c r="I303">
        <f>G303-H303</f>
        <v/>
      </c>
    </row>
    <row r="304">
      <c r="A304" t="inlineStr">
        <is>
          <t>VB-0317</t>
        </is>
      </c>
      <c r="B304" t="inlineStr">
        <is>
          <t>Vessbank</t>
        </is>
      </c>
      <c r="C304" t="inlineStr">
        <is>
          <t>covered</t>
        </is>
      </c>
      <c r="D304" t="n">
        <v>38.4</v>
      </c>
      <c r="E304">
        <f>ROUNDUP(D304, 0)</f>
        <v/>
      </c>
      <c r="F304">
        <f>IF(LOWER(C304)="covered", 10.40, 7.55)</f>
        <v/>
      </c>
      <c r="G304">
        <f>E304*F304</f>
        <v/>
      </c>
      <c r="H304" t="n">
        <v>405.6</v>
      </c>
      <c r="I304">
        <f>G304-H304</f>
        <v/>
      </c>
    </row>
    <row r="305">
      <c r="A305" t="inlineStr">
        <is>
          <t>VB-0318</t>
        </is>
      </c>
      <c r="B305" t="inlineStr">
        <is>
          <t>Vessbank</t>
        </is>
      </c>
      <c r="C305" t="inlineStr">
        <is>
          <t>covered</t>
        </is>
      </c>
      <c r="D305" t="n">
        <v>27.2</v>
      </c>
      <c r="E305">
        <f>ROUNDUP(D305, 0)</f>
        <v/>
      </c>
      <c r="F305">
        <f>IF(LOWER(C305)="covered", 10.40, 7.55)</f>
        <v/>
      </c>
      <c r="G305">
        <f>E305*F305</f>
        <v/>
      </c>
      <c r="H305" t="n">
        <v>332.8</v>
      </c>
      <c r="I305">
        <f>G305-H305</f>
        <v/>
      </c>
    </row>
    <row r="306">
      <c r="A306" t="inlineStr">
        <is>
          <t>VB-0319</t>
        </is>
      </c>
      <c r="B306" t="inlineStr">
        <is>
          <t>Vessbank</t>
        </is>
      </c>
      <c r="C306" t="inlineStr">
        <is>
          <t>covered</t>
        </is>
      </c>
      <c r="D306" t="n">
        <v>25.8</v>
      </c>
      <c r="E306">
        <f>ROUNDUP(D306, 0)</f>
        <v/>
      </c>
      <c r="F306">
        <f>IF(LOWER(C306)="covered", 10.40, 7.55)</f>
        <v/>
      </c>
      <c r="G306">
        <f>E306*F306</f>
        <v/>
      </c>
      <c r="H306" t="n">
        <v>291.2</v>
      </c>
      <c r="I306">
        <f>G306-H306</f>
        <v/>
      </c>
    </row>
    <row r="307">
      <c r="A307" t="inlineStr">
        <is>
          <t>VB-0320</t>
        </is>
      </c>
      <c r="B307" t="inlineStr">
        <is>
          <t>Vessbank</t>
        </is>
      </c>
      <c r="C307" t="inlineStr">
        <is>
          <t>covered</t>
        </is>
      </c>
      <c r="D307" t="n">
        <v>50</v>
      </c>
      <c r="E307">
        <f>ROUNDUP(D307, 0)</f>
        <v/>
      </c>
      <c r="F307">
        <f>IF(LOWER(C307)="covered", 10.40, 7.55)</f>
        <v/>
      </c>
      <c r="G307">
        <f>E307*F307</f>
        <v/>
      </c>
      <c r="H307" t="n">
        <v>520</v>
      </c>
      <c r="I307">
        <f>G307-H307</f>
        <v/>
      </c>
    </row>
    <row r="308">
      <c r="A308" t="inlineStr">
        <is>
          <t>VB-0321</t>
        </is>
      </c>
      <c r="B308" t="inlineStr">
        <is>
          <t>Vessbank</t>
        </is>
      </c>
      <c r="C308" t="inlineStr">
        <is>
          <t>covered</t>
        </is>
      </c>
      <c r="D308" t="n">
        <v>26.2</v>
      </c>
      <c r="E308">
        <f>ROUNDUP(D308, 0)</f>
        <v/>
      </c>
      <c r="F308">
        <f>IF(LOWER(C308)="covered", 10.40, 7.55)</f>
        <v/>
      </c>
      <c r="G308">
        <f>E308*F308</f>
        <v/>
      </c>
      <c r="H308" t="n">
        <v>291.2</v>
      </c>
      <c r="I308">
        <f>G308-H308</f>
        <v/>
      </c>
    </row>
    <row r="309">
      <c r="A309" t="inlineStr">
        <is>
          <t>VB-0322</t>
        </is>
      </c>
      <c r="B309" t="inlineStr">
        <is>
          <t>Vessbank</t>
        </is>
      </c>
      <c r="C309" t="inlineStr">
        <is>
          <t>covered</t>
        </is>
      </c>
      <c r="D309" t="n">
        <v>22.7</v>
      </c>
      <c r="E309">
        <f>ROUNDUP(D309, 0)</f>
        <v/>
      </c>
      <c r="F309">
        <f>IF(LOWER(C309)="covered", 10.40, 7.55)</f>
        <v/>
      </c>
      <c r="G309">
        <f>E309*F309</f>
        <v/>
      </c>
      <c r="H309" t="n">
        <v>416</v>
      </c>
      <c r="I309">
        <f>G309-H309</f>
        <v/>
      </c>
    </row>
    <row r="310">
      <c r="A310" t="inlineStr">
        <is>
          <t>VB-0323</t>
        </is>
      </c>
      <c r="B310" t="inlineStr">
        <is>
          <t>Vessbank</t>
        </is>
      </c>
      <c r="C310" t="inlineStr">
        <is>
          <t>covered</t>
        </is>
      </c>
      <c r="D310" t="n">
        <v>43.8</v>
      </c>
      <c r="E310">
        <f>ROUNDUP(D310, 0)</f>
        <v/>
      </c>
      <c r="F310">
        <f>IF(LOWER(C310)="covered", 10.40, 7.55)</f>
        <v/>
      </c>
      <c r="G310">
        <f>E310*F310</f>
        <v/>
      </c>
      <c r="H310" t="n">
        <v>457.6</v>
      </c>
      <c r="I310">
        <f>G310-H310</f>
        <v/>
      </c>
    </row>
    <row r="311">
      <c r="A311" t="inlineStr">
        <is>
          <t>VB-0324</t>
        </is>
      </c>
      <c r="B311" t="inlineStr">
        <is>
          <t>Vessbank</t>
        </is>
      </c>
      <c r="C311" t="inlineStr">
        <is>
          <t>covered</t>
        </is>
      </c>
      <c r="D311" t="n">
        <v>36.7</v>
      </c>
      <c r="E311">
        <f>ROUNDUP(D311, 0)</f>
        <v/>
      </c>
      <c r="F311">
        <f>IF(LOWER(C311)="covered", 10.40, 7.55)</f>
        <v/>
      </c>
      <c r="G311">
        <f>E311*F311</f>
        <v/>
      </c>
      <c r="H311" t="n">
        <v>384.8</v>
      </c>
      <c r="I311">
        <f>G311-H311</f>
        <v/>
      </c>
    </row>
    <row r="312">
      <c r="A312" t="inlineStr">
        <is>
          <t>VB-0401</t>
        </is>
      </c>
      <c r="B312" t="inlineStr">
        <is>
          <t>Vessbank</t>
        </is>
      </c>
      <c r="C312" t="inlineStr">
        <is>
          <t>covered</t>
        </is>
      </c>
      <c r="D312" t="n">
        <v>41.1</v>
      </c>
      <c r="E312">
        <f>ROUNDUP(D312, 0)</f>
        <v/>
      </c>
      <c r="F312">
        <f>IF(LOWER(C312)="covered", 10.40, 7.55)</f>
        <v/>
      </c>
      <c r="G312">
        <f>E312*F312</f>
        <v/>
      </c>
      <c r="H312" t="n">
        <v>436.8</v>
      </c>
      <c r="I312">
        <f>G312-H312</f>
        <v/>
      </c>
    </row>
    <row r="313">
      <c r="A313" t="inlineStr">
        <is>
          <t>VB-0402</t>
        </is>
      </c>
      <c r="B313" t="inlineStr">
        <is>
          <t>Vessbank</t>
        </is>
      </c>
      <c r="C313" t="inlineStr">
        <is>
          <t>covered</t>
        </is>
      </c>
      <c r="D313" t="n">
        <v>46.8</v>
      </c>
      <c r="E313">
        <f>ROUNDUP(D313, 0)</f>
        <v/>
      </c>
      <c r="F313">
        <f>IF(LOWER(C313)="covered", 10.40, 7.55)</f>
        <v/>
      </c>
      <c r="G313">
        <f>E313*F313</f>
        <v/>
      </c>
      <c r="H313" t="n">
        <v>488.8</v>
      </c>
      <c r="I313">
        <f>G313-H313</f>
        <v/>
      </c>
    </row>
    <row r="314">
      <c r="A314" t="inlineStr">
        <is>
          <t>VB-0403</t>
        </is>
      </c>
      <c r="B314" t="inlineStr">
        <is>
          <t>Vessbank</t>
        </is>
      </c>
      <c r="C314" t="inlineStr">
        <is>
          <t>covered</t>
        </is>
      </c>
      <c r="D314" t="n">
        <v>37.4</v>
      </c>
      <c r="E314">
        <f>ROUNDUP(D314, 0)</f>
        <v/>
      </c>
      <c r="F314">
        <f>IF(LOWER(C314)="covered", 10.40, 7.55)</f>
        <v/>
      </c>
      <c r="G314">
        <f>E314*F314</f>
        <v/>
      </c>
      <c r="H314" t="n">
        <v>395.2</v>
      </c>
      <c r="I314">
        <f>G314-H314</f>
        <v/>
      </c>
    </row>
    <row r="315">
      <c r="A315" t="inlineStr">
        <is>
          <t>VB-0405</t>
        </is>
      </c>
      <c r="B315" t="inlineStr">
        <is>
          <t>Vessbank</t>
        </is>
      </c>
      <c r="C315" t="inlineStr">
        <is>
          <t>covered</t>
        </is>
      </c>
      <c r="D315" t="n">
        <v>55.4</v>
      </c>
      <c r="E315">
        <f>ROUNDUP(D315, 0)</f>
        <v/>
      </c>
      <c r="F315">
        <f>IF(LOWER(C315)="covered", 10.40, 7.55)</f>
        <v/>
      </c>
      <c r="G315">
        <f>E315*F315</f>
        <v/>
      </c>
      <c r="H315" t="n">
        <v>582.4</v>
      </c>
      <c r="I315">
        <f>G315-H315</f>
        <v/>
      </c>
    </row>
    <row r="316">
      <c r="A316" t="inlineStr">
        <is>
          <t>VB-0406</t>
        </is>
      </c>
      <c r="B316" t="inlineStr">
        <is>
          <t>Vessbank</t>
        </is>
      </c>
      <c r="C316" t="inlineStr">
        <is>
          <t>covered</t>
        </is>
      </c>
      <c r="D316" t="n">
        <v>56.4</v>
      </c>
      <c r="E316">
        <f>ROUNDUP(D316, 0)</f>
        <v/>
      </c>
      <c r="F316">
        <f>IF(LOWER(C316)="covered", 10.40, 7.55)</f>
        <v/>
      </c>
      <c r="G316">
        <f>E316*F316</f>
        <v/>
      </c>
      <c r="H316" t="n">
        <v>592.8</v>
      </c>
      <c r="I316">
        <f>G316-H316</f>
        <v/>
      </c>
    </row>
    <row r="317">
      <c r="A317" t="inlineStr">
        <is>
          <t>VB-0407</t>
        </is>
      </c>
      <c r="B317" t="inlineStr">
        <is>
          <t>Vessbank</t>
        </is>
      </c>
      <c r="C317" t="inlineStr">
        <is>
          <t>covered</t>
        </is>
      </c>
      <c r="D317" t="n">
        <v>30.6</v>
      </c>
      <c r="E317">
        <f>ROUNDUP(D317, 0)</f>
        <v/>
      </c>
      <c r="F317">
        <f>IF(LOWER(C317)="covered", 10.40, 7.55)</f>
        <v/>
      </c>
      <c r="G317">
        <f>E317*F317</f>
        <v/>
      </c>
      <c r="H317" t="n">
        <v>322.4</v>
      </c>
      <c r="I317">
        <f>G317-H317</f>
        <v/>
      </c>
    </row>
    <row r="318">
      <c r="A318" t="inlineStr">
        <is>
          <t>VB-0408</t>
        </is>
      </c>
      <c r="B318" t="inlineStr">
        <is>
          <t>Vessbank</t>
        </is>
      </c>
      <c r="C318" t="inlineStr">
        <is>
          <t>covered</t>
        </is>
      </c>
      <c r="D318" t="n">
        <v>52.4</v>
      </c>
      <c r="E318">
        <f>ROUNDUP(D318, 0)</f>
        <v/>
      </c>
      <c r="F318">
        <f>IF(LOWER(C318)="covered", 10.40, 7.55)</f>
        <v/>
      </c>
      <c r="G318">
        <f>E318*F318</f>
        <v/>
      </c>
      <c r="H318" t="n">
        <v>551.2</v>
      </c>
      <c r="I318">
        <f>G318-H318</f>
        <v/>
      </c>
    </row>
    <row r="319">
      <c r="A319" t="inlineStr">
        <is>
          <t>VB-0409</t>
        </is>
      </c>
      <c r="B319" t="inlineStr">
        <is>
          <t>Vessbank</t>
        </is>
      </c>
      <c r="C319" t="inlineStr">
        <is>
          <t>covered</t>
        </is>
      </c>
      <c r="D319" t="n">
        <v>57</v>
      </c>
      <c r="E319">
        <f>ROUNDUP(D319, 0)</f>
        <v/>
      </c>
      <c r="F319">
        <f>IF(LOWER(C319)="covered", 10.40, 7.55)</f>
        <v/>
      </c>
      <c r="G319">
        <f>E319*F319</f>
        <v/>
      </c>
      <c r="H319" t="n">
        <v>592.8</v>
      </c>
      <c r="I319">
        <f>G319-H319</f>
        <v/>
      </c>
    </row>
    <row r="320">
      <c r="A320" t="inlineStr">
        <is>
          <t>VB-0410</t>
        </is>
      </c>
      <c r="B320" t="inlineStr">
        <is>
          <t>Vessbank</t>
        </is>
      </c>
      <c r="C320" t="inlineStr">
        <is>
          <t>covered</t>
        </is>
      </c>
      <c r="D320" t="n">
        <v>20.6</v>
      </c>
      <c r="E320">
        <f>ROUNDUP(D320, 0)</f>
        <v/>
      </c>
      <c r="F320">
        <f>IF(LOWER(C320)="covered", 10.40, 7.55)</f>
        <v/>
      </c>
      <c r="G320">
        <f>E320*F320</f>
        <v/>
      </c>
      <c r="H320" t="n">
        <v>332.8</v>
      </c>
      <c r="I320">
        <f>G320-H320</f>
        <v/>
      </c>
    </row>
    <row r="321">
      <c r="A321" t="inlineStr">
        <is>
          <t>VB-0411</t>
        </is>
      </c>
      <c r="B321" t="inlineStr">
        <is>
          <t>Vessbank</t>
        </is>
      </c>
      <c r="C321" t="inlineStr">
        <is>
          <t>covered</t>
        </is>
      </c>
      <c r="D321" t="n">
        <v>37</v>
      </c>
      <c r="E321">
        <f>ROUNDUP(D321, 0)</f>
        <v/>
      </c>
      <c r="F321">
        <f>IF(LOWER(C321)="covered", 10.40, 7.55)</f>
        <v/>
      </c>
      <c r="G321">
        <f>E321*F321</f>
        <v/>
      </c>
      <c r="H321" t="n">
        <v>384.8</v>
      </c>
      <c r="I321">
        <f>G321-H321</f>
        <v/>
      </c>
    </row>
    <row r="322">
      <c r="A322" t="inlineStr">
        <is>
          <t>VB-0412</t>
        </is>
      </c>
      <c r="B322" t="inlineStr">
        <is>
          <t>Vessbank</t>
        </is>
      </c>
      <c r="C322" t="inlineStr">
        <is>
          <t>covered</t>
        </is>
      </c>
      <c r="D322" t="n">
        <v>55.9</v>
      </c>
      <c r="E322">
        <f>ROUNDUP(D322, 0)</f>
        <v/>
      </c>
      <c r="F322">
        <f>IF(LOWER(C322)="covered", 10.40, 7.55)</f>
        <v/>
      </c>
      <c r="G322">
        <f>E322*F322</f>
        <v/>
      </c>
      <c r="H322" t="n">
        <v>582.4</v>
      </c>
      <c r="I322">
        <f>G322-H322</f>
        <v/>
      </c>
    </row>
    <row r="323">
      <c r="A323" t="inlineStr">
        <is>
          <t>VB-0413</t>
        </is>
      </c>
      <c r="B323" t="inlineStr">
        <is>
          <t>Vessbank</t>
        </is>
      </c>
      <c r="C323" t="inlineStr">
        <is>
          <t>covered</t>
        </is>
      </c>
      <c r="D323" t="n">
        <v>43.6</v>
      </c>
      <c r="E323">
        <f>ROUNDUP(D323, 0)</f>
        <v/>
      </c>
      <c r="F323">
        <f>IF(LOWER(C323)="covered", 10.40, 7.55)</f>
        <v/>
      </c>
      <c r="G323">
        <f>E323*F323</f>
        <v/>
      </c>
      <c r="H323" t="n">
        <v>457.6</v>
      </c>
      <c r="I323">
        <f>G323-H323</f>
        <v/>
      </c>
    </row>
    <row r="324">
      <c r="A324" t="inlineStr">
        <is>
          <t>VB-0414</t>
        </is>
      </c>
      <c r="B324" t="inlineStr">
        <is>
          <t>Vessbank</t>
        </is>
      </c>
      <c r="C324" t="inlineStr">
        <is>
          <t>covered</t>
        </is>
      </c>
      <c r="D324" t="n">
        <v>55.4</v>
      </c>
      <c r="E324">
        <f>ROUNDUP(D324, 0)</f>
        <v/>
      </c>
      <c r="F324">
        <f>IF(LOWER(C324)="covered", 10.40, 7.55)</f>
        <v/>
      </c>
      <c r="G324">
        <f>E324*F324</f>
        <v/>
      </c>
      <c r="H324" t="n">
        <v>582.4</v>
      </c>
      <c r="I324">
        <f>G324-H324</f>
        <v/>
      </c>
    </row>
    <row r="325">
      <c r="A325" t="inlineStr">
        <is>
          <t>VB-0415</t>
        </is>
      </c>
      <c r="B325" t="inlineStr">
        <is>
          <t>Vessbank</t>
        </is>
      </c>
      <c r="C325" t="inlineStr">
        <is>
          <t>covered</t>
        </is>
      </c>
      <c r="D325" t="n">
        <v>23.3</v>
      </c>
      <c r="E325">
        <f>ROUNDUP(D325, 0)</f>
        <v/>
      </c>
      <c r="F325">
        <f>IF(LOWER(C325)="covered", 10.40, 7.55)</f>
        <v/>
      </c>
      <c r="G325">
        <f>E325*F325</f>
        <v/>
      </c>
      <c r="H325" t="n">
        <v>249.6</v>
      </c>
      <c r="I325">
        <f>G325-H325</f>
        <v/>
      </c>
    </row>
    <row r="326">
      <c r="A326" t="inlineStr">
        <is>
          <t>VB-0416</t>
        </is>
      </c>
      <c r="B326" t="inlineStr">
        <is>
          <t>Vessbank</t>
        </is>
      </c>
      <c r="C326" t="inlineStr">
        <is>
          <t>covered</t>
        </is>
      </c>
      <c r="D326" t="n">
        <v>19</v>
      </c>
      <c r="E326">
        <f>ROUNDUP(D326, 0)</f>
        <v/>
      </c>
      <c r="F326">
        <f>IF(LOWER(C326)="covered", 10.40, 7.55)</f>
        <v/>
      </c>
      <c r="G326">
        <f>E326*F326</f>
        <v/>
      </c>
      <c r="H326" t="n">
        <v>374.4</v>
      </c>
      <c r="I326">
        <f>G326-H326</f>
        <v/>
      </c>
    </row>
    <row r="327">
      <c r="A327" t="inlineStr">
        <is>
          <t>VB-0417</t>
        </is>
      </c>
      <c r="B327" t="inlineStr">
        <is>
          <t>Vessbank</t>
        </is>
      </c>
      <c r="C327" t="inlineStr">
        <is>
          <t>covered</t>
        </is>
      </c>
      <c r="D327" t="n">
        <v>25.7</v>
      </c>
      <c r="E327">
        <f>ROUNDUP(D327, 0)</f>
        <v/>
      </c>
      <c r="F327">
        <f>IF(LOWER(C327)="covered", 10.40, 7.55)</f>
        <v/>
      </c>
      <c r="G327">
        <f>E327*F327</f>
        <v/>
      </c>
      <c r="H327" t="n">
        <v>332.8</v>
      </c>
      <c r="I327">
        <f>G327-H327</f>
        <v/>
      </c>
    </row>
    <row r="328">
      <c r="A328" t="inlineStr">
        <is>
          <t>VB-0418</t>
        </is>
      </c>
      <c r="B328" t="inlineStr">
        <is>
          <t>Vessbank</t>
        </is>
      </c>
      <c r="C328" t="inlineStr">
        <is>
          <t>covered</t>
        </is>
      </c>
      <c r="D328" t="n">
        <v>33.8</v>
      </c>
      <c r="E328">
        <f>ROUNDUP(D328, 0)</f>
        <v/>
      </c>
      <c r="F328">
        <f>IF(LOWER(C328)="covered", 10.40, 7.55)</f>
        <v/>
      </c>
      <c r="G328">
        <f>E328*F328</f>
        <v/>
      </c>
      <c r="H328" t="n">
        <v>353.6</v>
      </c>
      <c r="I328">
        <f>G328-H328</f>
        <v/>
      </c>
    </row>
    <row r="329">
      <c r="A329" t="inlineStr">
        <is>
          <t>VB-0419</t>
        </is>
      </c>
      <c r="B329" t="inlineStr">
        <is>
          <t>Vessbank</t>
        </is>
      </c>
      <c r="C329" t="inlineStr">
        <is>
          <t>covered</t>
        </is>
      </c>
      <c r="D329" t="n">
        <v>32.3</v>
      </c>
      <c r="E329">
        <f>ROUNDUP(D329, 0)</f>
        <v/>
      </c>
      <c r="F329">
        <f>IF(LOWER(C329)="covered", 10.40, 7.55)</f>
        <v/>
      </c>
      <c r="G329">
        <f>E329*F329</f>
        <v/>
      </c>
      <c r="H329" t="n">
        <v>343.2</v>
      </c>
      <c r="I329">
        <f>G329-H329</f>
        <v/>
      </c>
    </row>
    <row r="330">
      <c r="A330" t="inlineStr">
        <is>
          <t>VB-0420</t>
        </is>
      </c>
      <c r="B330" t="inlineStr">
        <is>
          <t>Vessbank</t>
        </is>
      </c>
      <c r="C330" t="inlineStr">
        <is>
          <t>covered</t>
        </is>
      </c>
      <c r="D330" t="n">
        <v>27.2</v>
      </c>
      <c r="E330">
        <f>ROUNDUP(D330, 0)</f>
        <v/>
      </c>
      <c r="F330">
        <f>IF(LOWER(C330)="covered", 10.40, 7.55)</f>
        <v/>
      </c>
      <c r="G330">
        <f>E330*F330</f>
        <v/>
      </c>
      <c r="H330" t="n">
        <v>291.2</v>
      </c>
      <c r="I330">
        <f>G330-H330</f>
        <v/>
      </c>
    </row>
    <row r="331">
      <c r="A331" t="inlineStr">
        <is>
          <t>VB-0422</t>
        </is>
      </c>
      <c r="B331" t="inlineStr">
        <is>
          <t>Vessbank</t>
        </is>
      </c>
      <c r="C331" t="inlineStr">
        <is>
          <t>covered</t>
        </is>
      </c>
      <c r="D331" t="n">
        <v>31.6</v>
      </c>
      <c r="E331">
        <f>ROUNDUP(D331, 0)</f>
        <v/>
      </c>
      <c r="F331">
        <f>IF(LOWER(C331)="covered", 10.40, 7.55)</f>
        <v/>
      </c>
      <c r="G331">
        <f>E331*F331</f>
        <v/>
      </c>
      <c r="H331" t="n">
        <v>374.4</v>
      </c>
      <c r="I331">
        <f>G331-H331</f>
        <v/>
      </c>
    </row>
    <row r="332">
      <c r="A332" t="inlineStr">
        <is>
          <t>VB-0423</t>
        </is>
      </c>
      <c r="B332" t="inlineStr">
        <is>
          <t>Vessbank</t>
        </is>
      </c>
      <c r="C332" t="inlineStr">
        <is>
          <t>covered</t>
        </is>
      </c>
      <c r="D332" t="n">
        <v>30.1</v>
      </c>
      <c r="E332">
        <f>ROUNDUP(D332, 0)</f>
        <v/>
      </c>
      <c r="F332">
        <f>IF(LOWER(C332)="covered", 10.40, 7.55)</f>
        <v/>
      </c>
      <c r="G332">
        <f>E332*F332</f>
        <v/>
      </c>
      <c r="H332" t="n">
        <v>322.4</v>
      </c>
      <c r="I332">
        <f>G332-H332</f>
        <v/>
      </c>
    </row>
    <row r="333">
      <c r="A333" t="inlineStr">
        <is>
          <t>VB-0424</t>
        </is>
      </c>
      <c r="B333" t="inlineStr">
        <is>
          <t>Vessbank</t>
        </is>
      </c>
      <c r="C333" t="inlineStr">
        <is>
          <t>covered</t>
        </is>
      </c>
      <c r="D333" t="n">
        <v>48.8</v>
      </c>
      <c r="E333">
        <f>ROUNDUP(D333, 0)</f>
        <v/>
      </c>
      <c r="F333">
        <f>IF(LOWER(C333)="covered", 10.40, 7.55)</f>
        <v/>
      </c>
      <c r="G333">
        <f>E333*F333</f>
        <v/>
      </c>
      <c r="H333" t="n">
        <v>509.6</v>
      </c>
      <c r="I333">
        <f>G333-H333</f>
        <v/>
      </c>
    </row>
    <row r="334">
      <c r="A334" t="inlineStr">
        <is>
          <t>VB-0501</t>
        </is>
      </c>
      <c r="B334" t="inlineStr">
        <is>
          <t>Vessbank</t>
        </is>
      </c>
      <c r="C334" t="inlineStr">
        <is>
          <t>covered</t>
        </is>
      </c>
      <c r="D334" t="n">
        <v>36.2</v>
      </c>
      <c r="E334">
        <f>ROUNDUP(D334, 0)</f>
        <v/>
      </c>
      <c r="F334">
        <f>IF(LOWER(C334)="covered", 10.40, 7.55)</f>
        <v/>
      </c>
      <c r="G334">
        <f>E334*F334</f>
        <v/>
      </c>
      <c r="H334" t="n">
        <v>384.8</v>
      </c>
      <c r="I334">
        <f>G334-H334</f>
        <v/>
      </c>
    </row>
    <row r="335">
      <c r="A335" t="inlineStr">
        <is>
          <t>VB-0502</t>
        </is>
      </c>
      <c r="B335" t="inlineStr">
        <is>
          <t>Vessbank</t>
        </is>
      </c>
      <c r="C335" t="inlineStr">
        <is>
          <t>covered</t>
        </is>
      </c>
      <c r="D335" t="n">
        <v>40.1</v>
      </c>
      <c r="E335">
        <f>ROUNDUP(D335, 0)</f>
        <v/>
      </c>
      <c r="F335">
        <f>IF(LOWER(C335)="covered", 10.40, 7.55)</f>
        <v/>
      </c>
      <c r="G335">
        <f>E335*F335</f>
        <v/>
      </c>
      <c r="H335" t="n">
        <v>426.4</v>
      </c>
      <c r="I335">
        <f>G335-H335</f>
        <v/>
      </c>
    </row>
    <row r="336">
      <c r="A336" t="inlineStr">
        <is>
          <t>VB-0504</t>
        </is>
      </c>
      <c r="B336" t="inlineStr">
        <is>
          <t>Vessbank</t>
        </is>
      </c>
      <c r="C336" t="inlineStr">
        <is>
          <t>covered</t>
        </is>
      </c>
      <c r="D336" t="n">
        <v>51.6</v>
      </c>
      <c r="E336">
        <f>ROUNDUP(D336, 0)</f>
        <v/>
      </c>
      <c r="F336">
        <f>IF(LOWER(C336)="covered", 10.40, 7.55)</f>
        <v/>
      </c>
      <c r="G336">
        <f>E336*F336</f>
        <v/>
      </c>
      <c r="H336" t="n">
        <v>540.8</v>
      </c>
      <c r="I336">
        <f>G336-H336</f>
        <v/>
      </c>
    </row>
    <row r="337">
      <c r="A337" t="inlineStr">
        <is>
          <t>VB-0505</t>
        </is>
      </c>
      <c r="B337" t="inlineStr">
        <is>
          <t>Vessbank</t>
        </is>
      </c>
      <c r="C337" t="inlineStr">
        <is>
          <t>covered</t>
        </is>
      </c>
      <c r="D337" t="n">
        <v>54.4</v>
      </c>
      <c r="E337">
        <f>ROUNDUP(D337, 0)</f>
        <v/>
      </c>
      <c r="F337">
        <f>IF(LOWER(C337)="covered", 10.40, 7.55)</f>
        <v/>
      </c>
      <c r="G337">
        <f>E337*F337</f>
        <v/>
      </c>
      <c r="H337" t="n">
        <v>572</v>
      </c>
      <c r="I337">
        <f>G337-H337</f>
        <v/>
      </c>
    </row>
    <row r="338">
      <c r="A338" t="inlineStr">
        <is>
          <t>VB-0506</t>
        </is>
      </c>
      <c r="B338" t="inlineStr">
        <is>
          <t>Vessbank</t>
        </is>
      </c>
      <c r="C338" t="inlineStr">
        <is>
          <t>covered</t>
        </is>
      </c>
      <c r="D338" t="n">
        <v>39.5</v>
      </c>
      <c r="E338">
        <f>ROUNDUP(D338, 0)</f>
        <v/>
      </c>
      <c r="F338">
        <f>IF(LOWER(C338)="covered", 10.40, 7.55)</f>
        <v/>
      </c>
      <c r="G338">
        <f>E338*F338</f>
        <v/>
      </c>
      <c r="H338" t="n">
        <v>416</v>
      </c>
      <c r="I338">
        <f>G338-H338</f>
        <v/>
      </c>
    </row>
    <row r="339">
      <c r="A339" t="inlineStr">
        <is>
          <t>VB-0507</t>
        </is>
      </c>
      <c r="B339" t="inlineStr">
        <is>
          <t>Vessbank</t>
        </is>
      </c>
      <c r="C339" t="inlineStr">
        <is>
          <t>covered</t>
        </is>
      </c>
      <c r="D339" t="n">
        <v>29.8</v>
      </c>
      <c r="E339">
        <f>ROUNDUP(D339, 0)</f>
        <v/>
      </c>
      <c r="F339">
        <f>IF(LOWER(C339)="covered", 10.40, 7.55)</f>
        <v/>
      </c>
      <c r="G339">
        <f>E339*F339</f>
        <v/>
      </c>
      <c r="H339" t="n">
        <v>416</v>
      </c>
      <c r="I339">
        <f>G339-H339</f>
        <v/>
      </c>
    </row>
    <row r="340">
      <c r="A340" t="inlineStr">
        <is>
          <t>VB-0508</t>
        </is>
      </c>
      <c r="B340" t="inlineStr">
        <is>
          <t>Vessbank</t>
        </is>
      </c>
      <c r="C340" t="inlineStr">
        <is>
          <t>covered</t>
        </is>
      </c>
      <c r="D340" t="n">
        <v>53.2</v>
      </c>
      <c r="E340">
        <f>ROUNDUP(D340, 0)</f>
        <v/>
      </c>
      <c r="F340">
        <f>IF(LOWER(C340)="covered", 10.40, 7.55)</f>
        <v/>
      </c>
      <c r="G340">
        <f>E340*F340</f>
        <v/>
      </c>
      <c r="H340" t="n">
        <v>561.6</v>
      </c>
      <c r="I340">
        <f>G340-H340</f>
        <v/>
      </c>
    </row>
    <row r="341">
      <c r="A341" t="inlineStr">
        <is>
          <t>VB-0509</t>
        </is>
      </c>
      <c r="B341" t="inlineStr">
        <is>
          <t>Vessbank</t>
        </is>
      </c>
      <c r="C341" t="inlineStr">
        <is>
          <t>covered</t>
        </is>
      </c>
      <c r="D341" t="n">
        <v>33</v>
      </c>
      <c r="E341">
        <f>ROUNDUP(D341, 0)</f>
        <v/>
      </c>
      <c r="F341">
        <f>IF(LOWER(C341)="covered", 10.40, 7.55)</f>
        <v/>
      </c>
      <c r="G341">
        <f>E341*F341</f>
        <v/>
      </c>
      <c r="H341" t="n">
        <v>343.2</v>
      </c>
      <c r="I341">
        <f>G341-H341</f>
        <v/>
      </c>
    </row>
    <row r="342">
      <c r="A342" t="inlineStr">
        <is>
          <t>VB-0510</t>
        </is>
      </c>
      <c r="B342" t="inlineStr">
        <is>
          <t>Vessbank</t>
        </is>
      </c>
      <c r="C342" t="inlineStr">
        <is>
          <t>covered</t>
        </is>
      </c>
      <c r="D342" t="n">
        <v>21</v>
      </c>
      <c r="E342">
        <f>ROUNDUP(D342, 0)</f>
        <v/>
      </c>
      <c r="F342">
        <f>IF(LOWER(C342)="covered", 10.40, 7.55)</f>
        <v/>
      </c>
      <c r="G342">
        <f>E342*F342</f>
        <v/>
      </c>
      <c r="H342" t="n">
        <v>416</v>
      </c>
      <c r="I342">
        <f>G342-H342</f>
        <v/>
      </c>
    </row>
    <row r="343">
      <c r="A343" t="inlineStr">
        <is>
          <t>VB-0511</t>
        </is>
      </c>
      <c r="B343" t="inlineStr">
        <is>
          <t>Vessbank</t>
        </is>
      </c>
      <c r="C343" t="inlineStr">
        <is>
          <t>covered</t>
        </is>
      </c>
      <c r="D343" t="n">
        <v>46.2</v>
      </c>
      <c r="E343">
        <f>ROUNDUP(D343, 0)</f>
        <v/>
      </c>
      <c r="F343">
        <f>IF(LOWER(C343)="covered", 10.40, 7.55)</f>
        <v/>
      </c>
      <c r="G343">
        <f>E343*F343</f>
        <v/>
      </c>
      <c r="H343" t="n">
        <v>488.8</v>
      </c>
      <c r="I343">
        <f>G343-H343</f>
        <v/>
      </c>
    </row>
    <row r="344">
      <c r="A344" t="inlineStr">
        <is>
          <t>VB-0512</t>
        </is>
      </c>
      <c r="B344" t="inlineStr">
        <is>
          <t>Vessbank</t>
        </is>
      </c>
      <c r="C344" t="inlineStr">
        <is>
          <t>covered</t>
        </is>
      </c>
      <c r="D344" t="n">
        <v>21.8</v>
      </c>
      <c r="E344">
        <f>ROUNDUP(D344, 0)</f>
        <v/>
      </c>
      <c r="F344">
        <f>IF(LOWER(C344)="covered", 10.40, 7.55)</f>
        <v/>
      </c>
      <c r="G344">
        <f>E344*F344</f>
        <v/>
      </c>
      <c r="H344" t="n">
        <v>291.2</v>
      </c>
      <c r="I344">
        <f>G344-H344</f>
        <v/>
      </c>
    </row>
    <row r="345">
      <c r="A345" t="inlineStr">
        <is>
          <t>VB-0513</t>
        </is>
      </c>
      <c r="B345" t="inlineStr">
        <is>
          <t>Vessbank</t>
        </is>
      </c>
      <c r="C345" t="inlineStr">
        <is>
          <t>covered</t>
        </is>
      </c>
      <c r="D345" t="n">
        <v>57.9</v>
      </c>
      <c r="E345">
        <f>ROUNDUP(D345, 0)</f>
        <v/>
      </c>
      <c r="F345">
        <f>IF(LOWER(C345)="covered", 10.40, 7.55)</f>
        <v/>
      </c>
      <c r="G345">
        <f>E345*F345</f>
        <v/>
      </c>
      <c r="H345" t="n">
        <v>603.2</v>
      </c>
      <c r="I345">
        <f>G345-H345</f>
        <v/>
      </c>
    </row>
    <row r="346">
      <c r="A346" t="inlineStr">
        <is>
          <t>VB-0514</t>
        </is>
      </c>
      <c r="B346" t="inlineStr">
        <is>
          <t>Vessbank</t>
        </is>
      </c>
      <c r="C346" t="inlineStr">
        <is>
          <t>covered</t>
        </is>
      </c>
      <c r="D346" t="n">
        <v>26</v>
      </c>
      <c r="E346">
        <f>ROUNDUP(D346, 0)</f>
        <v/>
      </c>
      <c r="F346">
        <f>IF(LOWER(C346)="covered", 10.40, 7.55)</f>
        <v/>
      </c>
      <c r="G346">
        <f>E346*F346</f>
        <v/>
      </c>
      <c r="H346" t="n">
        <v>270.4</v>
      </c>
      <c r="I346">
        <f>G346-H346</f>
        <v/>
      </c>
    </row>
    <row r="347">
      <c r="A347" t="inlineStr">
        <is>
          <t>VB-0515</t>
        </is>
      </c>
      <c r="B347" t="inlineStr">
        <is>
          <t>Vessbank</t>
        </is>
      </c>
      <c r="C347" t="inlineStr">
        <is>
          <t>covered</t>
        </is>
      </c>
      <c r="D347" t="n">
        <v>41.5</v>
      </c>
      <c r="E347">
        <f>ROUNDUP(D347, 0)</f>
        <v/>
      </c>
      <c r="F347">
        <f>IF(LOWER(C347)="covered", 10.40, 7.55)</f>
        <v/>
      </c>
      <c r="G347">
        <f>E347*F347</f>
        <v/>
      </c>
      <c r="H347" t="n">
        <v>436.8</v>
      </c>
      <c r="I347">
        <f>G347-H347</f>
        <v/>
      </c>
    </row>
    <row r="348">
      <c r="A348" t="inlineStr">
        <is>
          <t>VB-0517</t>
        </is>
      </c>
      <c r="B348" t="inlineStr">
        <is>
          <t>Vessbank</t>
        </is>
      </c>
      <c r="C348" t="inlineStr">
        <is>
          <t>covered</t>
        </is>
      </c>
      <c r="D348" t="n">
        <v>59.8</v>
      </c>
      <c r="E348">
        <f>ROUNDUP(D348, 0)</f>
        <v/>
      </c>
      <c r="F348">
        <f>IF(LOWER(C348)="covered", 10.40, 7.55)</f>
        <v/>
      </c>
      <c r="G348">
        <f>E348*F348</f>
        <v/>
      </c>
      <c r="H348" t="n">
        <v>624</v>
      </c>
      <c r="I348">
        <f>G348-H348</f>
        <v/>
      </c>
    </row>
    <row r="349">
      <c r="A349" t="inlineStr">
        <is>
          <t>VB-0518</t>
        </is>
      </c>
      <c r="B349" t="inlineStr">
        <is>
          <t>Vessbank</t>
        </is>
      </c>
      <c r="C349" t="inlineStr">
        <is>
          <t>covered</t>
        </is>
      </c>
      <c r="D349" t="n">
        <v>56.9</v>
      </c>
      <c r="E349">
        <f>ROUNDUP(D349, 0)</f>
        <v/>
      </c>
      <c r="F349">
        <f>IF(LOWER(C349)="covered", 10.40, 7.55)</f>
        <v/>
      </c>
      <c r="G349">
        <f>E349*F349</f>
        <v/>
      </c>
      <c r="H349" t="n">
        <v>592.8</v>
      </c>
      <c r="I349">
        <f>G349-H349</f>
        <v/>
      </c>
    </row>
    <row r="350">
      <c r="A350" t="inlineStr">
        <is>
          <t>VB-0519</t>
        </is>
      </c>
      <c r="B350" t="inlineStr">
        <is>
          <t>Vessbank</t>
        </is>
      </c>
      <c r="C350" t="inlineStr">
        <is>
          <t>covered</t>
        </is>
      </c>
      <c r="D350" t="n">
        <v>48.2</v>
      </c>
      <c r="E350">
        <f>ROUNDUP(D350, 0)</f>
        <v/>
      </c>
      <c r="F350">
        <f>IF(LOWER(C350)="covered", 10.40, 7.55)</f>
        <v/>
      </c>
      <c r="G350">
        <f>E350*F350</f>
        <v/>
      </c>
      <c r="H350" t="n">
        <v>509.6</v>
      </c>
      <c r="I350">
        <f>G350-H350</f>
        <v/>
      </c>
    </row>
    <row r="351">
      <c r="A351" t="inlineStr">
        <is>
          <t>VB-0520</t>
        </is>
      </c>
      <c r="B351" t="inlineStr">
        <is>
          <t>Vessbank</t>
        </is>
      </c>
      <c r="C351" t="inlineStr">
        <is>
          <t>covered</t>
        </is>
      </c>
      <c r="D351" t="n">
        <v>36</v>
      </c>
      <c r="E351">
        <f>ROUNDUP(D351, 0)</f>
        <v/>
      </c>
      <c r="F351">
        <f>IF(LOWER(C351)="covered", 10.40, 7.55)</f>
        <v/>
      </c>
      <c r="G351">
        <f>E351*F351</f>
        <v/>
      </c>
      <c r="H351" t="n">
        <v>374.4</v>
      </c>
      <c r="I351">
        <f>G351-H351</f>
        <v/>
      </c>
    </row>
    <row r="352">
      <c r="A352" t="inlineStr">
        <is>
          <t>VB-0521</t>
        </is>
      </c>
      <c r="B352" t="inlineStr">
        <is>
          <t>Vessbank</t>
        </is>
      </c>
      <c r="C352" t="inlineStr">
        <is>
          <t>covered</t>
        </is>
      </c>
      <c r="D352" t="n">
        <v>33.2</v>
      </c>
      <c r="E352">
        <f>ROUNDUP(D352, 0)</f>
        <v/>
      </c>
      <c r="F352">
        <f>IF(LOWER(C352)="covered", 10.40, 7.55)</f>
        <v/>
      </c>
      <c r="G352">
        <f>E352*F352</f>
        <v/>
      </c>
      <c r="H352" t="n">
        <v>353.6</v>
      </c>
      <c r="I352">
        <f>G352-H352</f>
        <v/>
      </c>
    </row>
    <row r="353">
      <c r="A353" t="inlineStr">
        <is>
          <t>VB-0522</t>
        </is>
      </c>
      <c r="B353" t="inlineStr">
        <is>
          <t>Vessbank</t>
        </is>
      </c>
      <c r="C353" t="inlineStr">
        <is>
          <t>covered</t>
        </is>
      </c>
      <c r="D353" t="n">
        <v>42.5</v>
      </c>
      <c r="E353">
        <f>ROUNDUP(D353, 0)</f>
        <v/>
      </c>
      <c r="F353">
        <f>IF(LOWER(C353)="covered", 10.40, 7.55)</f>
        <v/>
      </c>
      <c r="G353">
        <f>E353*F353</f>
        <v/>
      </c>
      <c r="H353" t="n">
        <v>447.2</v>
      </c>
      <c r="I353">
        <f>G353-H353</f>
        <v/>
      </c>
    </row>
    <row r="354">
      <c r="A354" t="inlineStr">
        <is>
          <t>VB-0523</t>
        </is>
      </c>
      <c r="B354" t="inlineStr">
        <is>
          <t>Vessbank</t>
        </is>
      </c>
      <c r="C354" t="inlineStr">
        <is>
          <t>covered</t>
        </is>
      </c>
      <c r="D354" t="n">
        <v>38.7</v>
      </c>
      <c r="E354">
        <f>ROUNDUP(D354, 0)</f>
        <v/>
      </c>
      <c r="F354">
        <f>IF(LOWER(C354)="covered", 10.40, 7.55)</f>
        <v/>
      </c>
      <c r="G354">
        <f>E354*F354</f>
        <v/>
      </c>
      <c r="H354" t="n">
        <v>405.6</v>
      </c>
      <c r="I354">
        <f>G354-H354</f>
        <v/>
      </c>
    </row>
    <row r="355">
      <c r="A355" t="inlineStr">
        <is>
          <t>VB-0524</t>
        </is>
      </c>
      <c r="B355" t="inlineStr">
        <is>
          <t>Vessbank</t>
        </is>
      </c>
      <c r="C355" t="inlineStr">
        <is>
          <t>covered</t>
        </is>
      </c>
      <c r="D355" t="n">
        <v>22.5</v>
      </c>
      <c r="E355">
        <f>ROUNDUP(D355, 0)</f>
        <v/>
      </c>
      <c r="F355">
        <f>IF(LOWER(C355)="covered", 10.40, 7.55)</f>
        <v/>
      </c>
      <c r="G355">
        <f>E355*F355</f>
        <v/>
      </c>
      <c r="H355" t="n">
        <v>291.2</v>
      </c>
      <c r="I355">
        <f>G355-H355</f>
        <v/>
      </c>
    </row>
    <row r="356">
      <c r="A356" t="inlineStr">
        <is>
          <t>VB-0601</t>
        </is>
      </c>
      <c r="B356" t="inlineStr">
        <is>
          <t>Vessbank</t>
        </is>
      </c>
      <c r="C356" t="inlineStr">
        <is>
          <t>covered</t>
        </is>
      </c>
      <c r="D356" t="n">
        <v>45.6</v>
      </c>
      <c r="E356">
        <f>ROUNDUP(D356, 0)</f>
        <v/>
      </c>
      <c r="F356">
        <f>IF(LOWER(C356)="covered", 10.40, 7.55)</f>
        <v/>
      </c>
      <c r="G356">
        <f>E356*F356</f>
        <v/>
      </c>
      <c r="H356" t="n">
        <v>478.4</v>
      </c>
      <c r="I356">
        <f>G356-H356</f>
        <v/>
      </c>
    </row>
    <row r="357">
      <c r="A357" t="inlineStr">
        <is>
          <t>VB-0602</t>
        </is>
      </c>
      <c r="B357" t="inlineStr">
        <is>
          <t>Vessbank</t>
        </is>
      </c>
      <c r="C357" t="inlineStr">
        <is>
          <t>covered</t>
        </is>
      </c>
      <c r="D357" t="n">
        <v>39.8</v>
      </c>
      <c r="E357">
        <f>ROUNDUP(D357, 0)</f>
        <v/>
      </c>
      <c r="F357">
        <f>IF(LOWER(C357)="covered", 10.40, 7.55)</f>
        <v/>
      </c>
      <c r="G357">
        <f>E357*F357</f>
        <v/>
      </c>
      <c r="H357" t="n">
        <v>416</v>
      </c>
      <c r="I357">
        <f>G357-H357</f>
        <v/>
      </c>
    </row>
    <row r="358">
      <c r="A358" t="inlineStr">
        <is>
          <t>VB-0603</t>
        </is>
      </c>
      <c r="B358" t="inlineStr">
        <is>
          <t>Vessbank</t>
        </is>
      </c>
      <c r="C358" t="inlineStr">
        <is>
          <t>covered</t>
        </is>
      </c>
      <c r="D358" t="n">
        <v>27.8</v>
      </c>
      <c r="E358">
        <f>ROUNDUP(D358, 0)</f>
        <v/>
      </c>
      <c r="F358">
        <f>IF(LOWER(C358)="covered", 10.40, 7.55)</f>
        <v/>
      </c>
      <c r="G358">
        <f>E358*F358</f>
        <v/>
      </c>
      <c r="H358" t="n">
        <v>291.2</v>
      </c>
      <c r="I358">
        <f>G358-H358</f>
        <v/>
      </c>
    </row>
    <row r="359">
      <c r="A359" t="inlineStr">
        <is>
          <t>VB-0604</t>
        </is>
      </c>
      <c r="B359" t="inlineStr">
        <is>
          <t>Vessbank</t>
        </is>
      </c>
      <c r="C359" t="inlineStr">
        <is>
          <t>covered</t>
        </is>
      </c>
      <c r="D359" t="n">
        <v>19.5</v>
      </c>
      <c r="E359">
        <f>ROUNDUP(D359, 0)</f>
        <v/>
      </c>
      <c r="F359">
        <f>IF(LOWER(C359)="covered", 10.40, 7.55)</f>
        <v/>
      </c>
      <c r="G359">
        <f>E359*F359</f>
        <v/>
      </c>
      <c r="H359" t="n">
        <v>291.2</v>
      </c>
      <c r="I359">
        <f>G359-H359</f>
        <v/>
      </c>
    </row>
    <row r="360">
      <c r="A360" t="inlineStr">
        <is>
          <t>VB-0605</t>
        </is>
      </c>
      <c r="B360" t="inlineStr">
        <is>
          <t>Vessbank</t>
        </is>
      </c>
      <c r="C360" t="inlineStr">
        <is>
          <t>covered</t>
        </is>
      </c>
      <c r="D360" t="n">
        <v>35.2</v>
      </c>
      <c r="E360">
        <f>ROUNDUP(D360, 0)</f>
        <v/>
      </c>
      <c r="F360">
        <f>IF(LOWER(C360)="covered", 10.40, 7.55)</f>
        <v/>
      </c>
      <c r="G360">
        <f>E360*F360</f>
        <v/>
      </c>
      <c r="H360" t="n">
        <v>374.4</v>
      </c>
      <c r="I360">
        <f>G360-H360</f>
        <v/>
      </c>
    </row>
    <row r="361">
      <c r="A361" t="inlineStr">
        <is>
          <t>VB-0606</t>
        </is>
      </c>
      <c r="B361" t="inlineStr">
        <is>
          <t>Vessbank</t>
        </is>
      </c>
      <c r="C361" t="inlineStr">
        <is>
          <t>covered</t>
        </is>
      </c>
      <c r="D361" t="n">
        <v>44.8</v>
      </c>
      <c r="E361">
        <f>ROUNDUP(D361, 0)</f>
        <v/>
      </c>
      <c r="F361">
        <f>IF(LOWER(C361)="covered", 10.40, 7.55)</f>
        <v/>
      </c>
      <c r="G361">
        <f>E361*F361</f>
        <v/>
      </c>
      <c r="H361" t="n">
        <v>468</v>
      </c>
      <c r="I361">
        <f>G361-H361</f>
        <v/>
      </c>
    </row>
    <row r="362">
      <c r="A362" t="inlineStr">
        <is>
          <t>VB-0607</t>
        </is>
      </c>
      <c r="B362" t="inlineStr">
        <is>
          <t>Vessbank</t>
        </is>
      </c>
      <c r="C362" t="inlineStr">
        <is>
          <t>covered</t>
        </is>
      </c>
      <c r="D362" t="n">
        <v>29.2</v>
      </c>
      <c r="E362">
        <f>ROUNDUP(D362, 0)</f>
        <v/>
      </c>
      <c r="F362">
        <f>IF(LOWER(C362)="covered", 10.40, 7.55)</f>
        <v/>
      </c>
      <c r="G362">
        <f>E362*F362</f>
        <v/>
      </c>
      <c r="H362" t="n">
        <v>374.4</v>
      </c>
      <c r="I362">
        <f>G362-H362</f>
        <v/>
      </c>
    </row>
    <row r="363">
      <c r="A363" t="inlineStr">
        <is>
          <t>VB-0609</t>
        </is>
      </c>
      <c r="B363" t="inlineStr">
        <is>
          <t>Vessbank</t>
        </is>
      </c>
      <c r="C363" t="inlineStr">
        <is>
          <t>covered</t>
        </is>
      </c>
      <c r="D363" t="n">
        <v>34.2</v>
      </c>
      <c r="E363">
        <f>ROUNDUP(D363, 0)</f>
        <v/>
      </c>
      <c r="F363">
        <f>IF(LOWER(C363)="covered", 10.40, 7.55)</f>
        <v/>
      </c>
      <c r="G363">
        <f>E363*F363</f>
        <v/>
      </c>
      <c r="H363" t="n">
        <v>374.4</v>
      </c>
      <c r="I363">
        <f>G363-H363</f>
        <v/>
      </c>
    </row>
    <row r="364">
      <c r="A364" t="inlineStr">
        <is>
          <t>VB-0610</t>
        </is>
      </c>
      <c r="B364" t="inlineStr">
        <is>
          <t>Vessbank</t>
        </is>
      </c>
      <c r="C364" t="inlineStr">
        <is>
          <t>covered</t>
        </is>
      </c>
      <c r="D364" t="n">
        <v>59.6</v>
      </c>
      <c r="E364">
        <f>ROUNDUP(D364, 0)</f>
        <v/>
      </c>
      <c r="F364">
        <f>IF(LOWER(C364)="covered", 10.40, 7.55)</f>
        <v/>
      </c>
      <c r="G364">
        <f>E364*F364</f>
        <v/>
      </c>
      <c r="H364" t="n">
        <v>624</v>
      </c>
      <c r="I364">
        <f>G364-H364</f>
        <v/>
      </c>
    </row>
    <row r="365">
      <c r="A365" t="inlineStr">
        <is>
          <t>VB-0611</t>
        </is>
      </c>
      <c r="B365" t="inlineStr">
        <is>
          <t>Vessbank</t>
        </is>
      </c>
      <c r="C365" t="inlineStr">
        <is>
          <t>covered</t>
        </is>
      </c>
      <c r="D365" t="n">
        <v>18.3</v>
      </c>
      <c r="E365">
        <f>ROUNDUP(D365, 0)</f>
        <v/>
      </c>
      <c r="F365">
        <f>IF(LOWER(C365)="covered", 10.40, 7.55)</f>
        <v/>
      </c>
      <c r="G365">
        <f>E365*F365</f>
        <v/>
      </c>
      <c r="H365" t="n">
        <v>332.8</v>
      </c>
      <c r="I365">
        <f>G365-H365</f>
        <v/>
      </c>
    </row>
    <row r="366">
      <c r="A366" t="inlineStr">
        <is>
          <t>VB-0612</t>
        </is>
      </c>
      <c r="B366" t="inlineStr">
        <is>
          <t>Vessbank</t>
        </is>
      </c>
      <c r="C366" t="inlineStr">
        <is>
          <t>covered</t>
        </is>
      </c>
      <c r="D366" t="n">
        <v>57</v>
      </c>
      <c r="E366">
        <f>ROUNDUP(D366, 0)</f>
        <v/>
      </c>
      <c r="F366">
        <f>IF(LOWER(C366)="covered", 10.40, 7.55)</f>
        <v/>
      </c>
      <c r="G366">
        <f>E366*F366</f>
        <v/>
      </c>
      <c r="H366" t="n">
        <v>592.8</v>
      </c>
      <c r="I366">
        <f>G366-H366</f>
        <v/>
      </c>
    </row>
    <row r="367">
      <c r="A367" t="inlineStr">
        <is>
          <t>VB-0613</t>
        </is>
      </c>
      <c r="B367" t="inlineStr">
        <is>
          <t>Vessbank</t>
        </is>
      </c>
      <c r="C367" t="inlineStr">
        <is>
          <t>covered</t>
        </is>
      </c>
      <c r="D367" t="n">
        <v>54.3</v>
      </c>
      <c r="E367">
        <f>ROUNDUP(D367, 0)</f>
        <v/>
      </c>
      <c r="F367">
        <f>IF(LOWER(C367)="covered", 10.40, 7.55)</f>
        <v/>
      </c>
      <c r="G367">
        <f>E367*F367</f>
        <v/>
      </c>
      <c r="H367" t="n">
        <v>572</v>
      </c>
      <c r="I367">
        <f>G367-H367</f>
        <v/>
      </c>
    </row>
    <row r="368">
      <c r="A368" t="inlineStr">
        <is>
          <t>VB-0614</t>
        </is>
      </c>
      <c r="B368" t="inlineStr">
        <is>
          <t>Vessbank</t>
        </is>
      </c>
      <c r="C368" t="inlineStr">
        <is>
          <t>covered</t>
        </is>
      </c>
      <c r="D368" t="n">
        <v>44.8</v>
      </c>
      <c r="E368">
        <f>ROUNDUP(D368, 0)</f>
        <v/>
      </c>
      <c r="F368">
        <f>IF(LOWER(C368)="covered", 10.40, 7.55)</f>
        <v/>
      </c>
      <c r="G368">
        <f>E368*F368</f>
        <v/>
      </c>
      <c r="H368" t="n">
        <v>468</v>
      </c>
      <c r="I368">
        <f>G368-H368</f>
        <v/>
      </c>
    </row>
    <row r="369">
      <c r="A369" t="inlineStr">
        <is>
          <t>VB-0615</t>
        </is>
      </c>
      <c r="B369" t="inlineStr">
        <is>
          <t>Vessbank</t>
        </is>
      </c>
      <c r="C369" t="inlineStr">
        <is>
          <t>covered</t>
        </is>
      </c>
      <c r="D369" t="n">
        <v>49.6</v>
      </c>
      <c r="E369">
        <f>ROUNDUP(D369, 0)</f>
        <v/>
      </c>
      <c r="F369">
        <f>IF(LOWER(C369)="covered", 10.40, 7.55)</f>
        <v/>
      </c>
      <c r="G369">
        <f>E369*F369</f>
        <v/>
      </c>
      <c r="H369" t="n">
        <v>520</v>
      </c>
      <c r="I369">
        <f>G369-H369</f>
        <v/>
      </c>
    </row>
    <row r="370">
      <c r="A370" t="inlineStr">
        <is>
          <t>VB-0616</t>
        </is>
      </c>
      <c r="B370" t="inlineStr">
        <is>
          <t>Vessbank</t>
        </is>
      </c>
      <c r="C370" t="inlineStr">
        <is>
          <t>covered</t>
        </is>
      </c>
      <c r="D370" t="n">
        <v>32.5</v>
      </c>
      <c r="E370">
        <f>ROUNDUP(D370, 0)</f>
        <v/>
      </c>
      <c r="F370">
        <f>IF(LOWER(C370)="covered", 10.40, 7.55)</f>
        <v/>
      </c>
      <c r="G370">
        <f>E370*F370</f>
        <v/>
      </c>
      <c r="H370" t="n">
        <v>343.2</v>
      </c>
      <c r="I370">
        <f>G370-H370</f>
        <v/>
      </c>
    </row>
    <row r="371">
      <c r="A371" t="inlineStr">
        <is>
          <t>VB-0617</t>
        </is>
      </c>
      <c r="B371" t="inlineStr">
        <is>
          <t>Vessbank</t>
        </is>
      </c>
      <c r="C371" t="inlineStr">
        <is>
          <t>covered</t>
        </is>
      </c>
      <c r="D371" t="n">
        <v>48.2</v>
      </c>
      <c r="E371">
        <f>ROUNDUP(D371, 0)</f>
        <v/>
      </c>
      <c r="F371">
        <f>IF(LOWER(C371)="covered", 10.40, 7.55)</f>
        <v/>
      </c>
      <c r="G371">
        <f>E371*F371</f>
        <v/>
      </c>
      <c r="H371" t="n">
        <v>509.6</v>
      </c>
      <c r="I371">
        <f>G371-H371</f>
        <v/>
      </c>
    </row>
    <row r="372">
      <c r="A372" t="inlineStr">
        <is>
          <t>VB-0618</t>
        </is>
      </c>
      <c r="B372" t="inlineStr">
        <is>
          <t>Vessbank</t>
        </is>
      </c>
      <c r="C372" t="inlineStr">
        <is>
          <t>covered</t>
        </is>
      </c>
      <c r="D372" t="n">
        <v>59.7</v>
      </c>
      <c r="E372">
        <f>ROUNDUP(D372, 0)</f>
        <v/>
      </c>
      <c r="F372">
        <f>IF(LOWER(C372)="covered", 10.40, 7.55)</f>
        <v/>
      </c>
      <c r="G372">
        <f>E372*F372</f>
        <v/>
      </c>
      <c r="H372" t="n">
        <v>624</v>
      </c>
      <c r="I372">
        <f>G372-H372</f>
        <v/>
      </c>
    </row>
    <row r="373">
      <c r="A373" t="inlineStr">
        <is>
          <t>VB-0619</t>
        </is>
      </c>
      <c r="B373" t="inlineStr">
        <is>
          <t>Vessbank</t>
        </is>
      </c>
      <c r="C373" t="inlineStr">
        <is>
          <t>covered</t>
        </is>
      </c>
      <c r="D373" t="n">
        <v>61.4</v>
      </c>
      <c r="E373">
        <f>ROUNDUP(D373, 0)</f>
        <v/>
      </c>
      <c r="F373">
        <f>IF(LOWER(C373)="covered", 10.40, 7.55)</f>
        <v/>
      </c>
      <c r="G373">
        <f>E373*F373</f>
        <v/>
      </c>
      <c r="H373" t="n">
        <v>644.8</v>
      </c>
      <c r="I373">
        <f>G373-H373</f>
        <v/>
      </c>
    </row>
    <row r="374">
      <c r="A374" t="inlineStr">
        <is>
          <t>VB-0620</t>
        </is>
      </c>
      <c r="B374" t="inlineStr">
        <is>
          <t>Vessbank</t>
        </is>
      </c>
      <c r="C374" t="inlineStr">
        <is>
          <t>covered</t>
        </is>
      </c>
      <c r="D374" t="n">
        <v>48</v>
      </c>
      <c r="E374">
        <f>ROUNDUP(D374, 0)</f>
        <v/>
      </c>
      <c r="F374">
        <f>IF(LOWER(C374)="covered", 10.40, 7.55)</f>
        <v/>
      </c>
      <c r="G374">
        <f>E374*F374</f>
        <v/>
      </c>
      <c r="H374" t="n">
        <v>499.2</v>
      </c>
      <c r="I374">
        <f>G374-H374</f>
        <v/>
      </c>
    </row>
    <row r="375">
      <c r="A375" t="inlineStr">
        <is>
          <t>VB-0621</t>
        </is>
      </c>
      <c r="B375" t="inlineStr">
        <is>
          <t>Vessbank</t>
        </is>
      </c>
      <c r="C375" t="inlineStr">
        <is>
          <t>covered</t>
        </is>
      </c>
      <c r="D375" t="n">
        <v>19.9</v>
      </c>
      <c r="E375">
        <f>ROUNDUP(D375, 0)</f>
        <v/>
      </c>
      <c r="F375">
        <f>IF(LOWER(C375)="covered", 10.40, 7.55)</f>
        <v/>
      </c>
      <c r="G375">
        <f>E375*F375</f>
        <v/>
      </c>
      <c r="H375" t="n">
        <v>249.6</v>
      </c>
      <c r="I375">
        <f>G375-H375</f>
        <v/>
      </c>
    </row>
    <row r="376">
      <c r="A376" t="inlineStr">
        <is>
          <t>VB-0622</t>
        </is>
      </c>
      <c r="B376" t="inlineStr">
        <is>
          <t>Vessbank</t>
        </is>
      </c>
      <c r="C376" t="inlineStr">
        <is>
          <t>covered</t>
        </is>
      </c>
      <c r="D376" t="n">
        <v>19.6</v>
      </c>
      <c r="E376">
        <f>ROUNDUP(D376, 0)</f>
        <v/>
      </c>
      <c r="F376">
        <f>IF(LOWER(C376)="covered", 10.40, 7.55)</f>
        <v/>
      </c>
      <c r="G376">
        <f>E376*F376</f>
        <v/>
      </c>
      <c r="H376" t="n">
        <v>332.8</v>
      </c>
      <c r="I376">
        <f>G376-H376</f>
        <v/>
      </c>
    </row>
    <row r="377">
      <c r="A377" t="inlineStr">
        <is>
          <t>VB-0623</t>
        </is>
      </c>
      <c r="B377" t="inlineStr">
        <is>
          <t>Vessbank</t>
        </is>
      </c>
      <c r="C377" t="inlineStr">
        <is>
          <t>covered</t>
        </is>
      </c>
      <c r="D377" t="n">
        <v>42.6</v>
      </c>
      <c r="E377">
        <f>ROUNDUP(D377, 0)</f>
        <v/>
      </c>
      <c r="F377">
        <f>IF(LOWER(C377)="covered", 10.40, 7.55)</f>
        <v/>
      </c>
      <c r="G377">
        <f>E377*F377</f>
        <v/>
      </c>
      <c r="H377" t="n">
        <v>447.2</v>
      </c>
      <c r="I377">
        <f>G377-H377</f>
        <v/>
      </c>
    </row>
    <row r="378">
      <c r="A378" t="inlineStr">
        <is>
          <t>VB-0624</t>
        </is>
      </c>
      <c r="B378" t="inlineStr">
        <is>
          <t>Vessbank</t>
        </is>
      </c>
      <c r="C378" t="inlineStr">
        <is>
          <t>covered</t>
        </is>
      </c>
      <c r="D378" t="n">
        <v>19.5</v>
      </c>
      <c r="E378">
        <f>ROUNDUP(D378, 0)</f>
        <v/>
      </c>
      <c r="F378">
        <f>IF(LOWER(C378)="covered", 10.40, 7.55)</f>
        <v/>
      </c>
      <c r="G378">
        <f>E378*F378</f>
        <v/>
      </c>
      <c r="H378" t="n">
        <v>416</v>
      </c>
      <c r="I378">
        <f>G378-H378</f>
        <v/>
      </c>
    </row>
    <row r="379">
      <c r="A379" t="inlineStr">
        <is>
          <t>VB-0701</t>
        </is>
      </c>
      <c r="B379" t="inlineStr">
        <is>
          <t>Vessbank</t>
        </is>
      </c>
      <c r="C379" t="inlineStr">
        <is>
          <t>covered</t>
        </is>
      </c>
      <c r="D379" t="n">
        <v>38</v>
      </c>
      <c r="E379">
        <f>ROUNDUP(D379, 0)</f>
        <v/>
      </c>
      <c r="F379">
        <f>IF(LOWER(C379)="covered", 10.40, 7.55)</f>
        <v/>
      </c>
      <c r="G379">
        <f>E379*F379</f>
        <v/>
      </c>
      <c r="H379" t="n">
        <v>395.2</v>
      </c>
      <c r="I379">
        <f>G379-H379</f>
        <v/>
      </c>
    </row>
    <row r="380">
      <c r="A380" t="inlineStr">
        <is>
          <t>VB-0703</t>
        </is>
      </c>
      <c r="B380" t="inlineStr">
        <is>
          <t>Vessbank</t>
        </is>
      </c>
      <c r="C380" t="inlineStr">
        <is>
          <t>covered</t>
        </is>
      </c>
      <c r="D380" t="n">
        <v>60.8</v>
      </c>
      <c r="E380">
        <f>ROUNDUP(D380, 0)</f>
        <v/>
      </c>
      <c r="F380">
        <f>IF(LOWER(C380)="covered", 10.40, 7.55)</f>
        <v/>
      </c>
      <c r="G380">
        <f>E380*F380</f>
        <v/>
      </c>
      <c r="H380" t="n">
        <v>634.4</v>
      </c>
      <c r="I380">
        <f>G380-H380</f>
        <v/>
      </c>
    </row>
    <row r="381">
      <c r="A381" t="inlineStr">
        <is>
          <t>VB-0704</t>
        </is>
      </c>
      <c r="B381" t="inlineStr">
        <is>
          <t>Vessbank</t>
        </is>
      </c>
      <c r="C381" t="inlineStr">
        <is>
          <t>covered</t>
        </is>
      </c>
      <c r="D381" t="n">
        <v>43.1</v>
      </c>
      <c r="E381">
        <f>ROUNDUP(D381, 0)</f>
        <v/>
      </c>
      <c r="F381">
        <f>IF(LOWER(C381)="covered", 10.40, 7.55)</f>
        <v/>
      </c>
      <c r="G381">
        <f>E381*F381</f>
        <v/>
      </c>
      <c r="H381" t="n">
        <v>457.6</v>
      </c>
      <c r="I381">
        <f>G381-H381</f>
        <v/>
      </c>
    </row>
    <row r="382">
      <c r="A382" t="inlineStr">
        <is>
          <t>VB-0705</t>
        </is>
      </c>
      <c r="B382" t="inlineStr">
        <is>
          <t>Vessbank</t>
        </is>
      </c>
      <c r="C382" t="inlineStr">
        <is>
          <t>covered</t>
        </is>
      </c>
      <c r="D382" t="n">
        <v>45.4</v>
      </c>
      <c r="E382">
        <f>ROUNDUP(D382, 0)</f>
        <v/>
      </c>
      <c r="F382">
        <f>IF(LOWER(C382)="covered", 10.40, 7.55)</f>
        <v/>
      </c>
      <c r="G382">
        <f>E382*F382</f>
        <v/>
      </c>
      <c r="H382" t="n">
        <v>478.4</v>
      </c>
      <c r="I382">
        <f>G382-H382</f>
        <v/>
      </c>
    </row>
    <row r="383">
      <c r="A383" t="inlineStr">
        <is>
          <t>VB-0706</t>
        </is>
      </c>
      <c r="B383" t="inlineStr">
        <is>
          <t>Vessbank</t>
        </is>
      </c>
      <c r="C383" t="inlineStr">
        <is>
          <t>covered</t>
        </is>
      </c>
      <c r="D383" t="n">
        <v>33.5</v>
      </c>
      <c r="E383">
        <f>ROUNDUP(D383, 0)</f>
        <v/>
      </c>
      <c r="F383">
        <f>IF(LOWER(C383)="covered", 10.40, 7.55)</f>
        <v/>
      </c>
      <c r="G383">
        <f>E383*F383</f>
        <v/>
      </c>
      <c r="H383" t="n">
        <v>353.6</v>
      </c>
      <c r="I383">
        <f>G383-H383</f>
        <v/>
      </c>
    </row>
    <row r="384">
      <c r="A384" t="inlineStr">
        <is>
          <t>VB-0707</t>
        </is>
      </c>
      <c r="B384" t="inlineStr">
        <is>
          <t>Vessbank</t>
        </is>
      </c>
      <c r="C384" t="inlineStr">
        <is>
          <t>covered</t>
        </is>
      </c>
      <c r="D384" t="n">
        <v>19.6</v>
      </c>
      <c r="E384">
        <f>ROUNDUP(D384, 0)</f>
        <v/>
      </c>
      <c r="F384">
        <f>IF(LOWER(C384)="covered", 10.40, 7.55)</f>
        <v/>
      </c>
      <c r="G384">
        <f>E384*F384</f>
        <v/>
      </c>
      <c r="H384" t="n">
        <v>291.2</v>
      </c>
      <c r="I384">
        <f>G384-H384</f>
        <v/>
      </c>
    </row>
    <row r="385">
      <c r="A385" t="inlineStr">
        <is>
          <t>VB-0708</t>
        </is>
      </c>
      <c r="B385" t="inlineStr">
        <is>
          <t>Vessbank</t>
        </is>
      </c>
      <c r="C385" t="inlineStr">
        <is>
          <t>covered</t>
        </is>
      </c>
      <c r="D385" t="n">
        <v>21.4</v>
      </c>
      <c r="E385">
        <f>ROUNDUP(D385, 0)</f>
        <v/>
      </c>
      <c r="F385">
        <f>IF(LOWER(C385)="covered", 10.40, 7.55)</f>
        <v/>
      </c>
      <c r="G385">
        <f>E385*F385</f>
        <v/>
      </c>
      <c r="H385" t="n">
        <v>374.4</v>
      </c>
      <c r="I385">
        <f>G385-H385</f>
        <v/>
      </c>
    </row>
    <row r="386">
      <c r="A386" t="inlineStr">
        <is>
          <t>VB-0709</t>
        </is>
      </c>
      <c r="B386" t="inlineStr">
        <is>
          <t>Vessbank</t>
        </is>
      </c>
      <c r="C386" t="inlineStr">
        <is>
          <t>covered</t>
        </is>
      </c>
      <c r="D386" t="n">
        <v>43.5</v>
      </c>
      <c r="E386">
        <f>ROUNDUP(D386, 0)</f>
        <v/>
      </c>
      <c r="F386">
        <f>IF(LOWER(C386)="covered", 10.40, 7.55)</f>
        <v/>
      </c>
      <c r="G386">
        <f>E386*F386</f>
        <v/>
      </c>
      <c r="H386" t="n">
        <v>457.6</v>
      </c>
      <c r="I386">
        <f>G386-H386</f>
        <v/>
      </c>
    </row>
    <row r="387">
      <c r="A387" t="inlineStr">
        <is>
          <t>VB-0710</t>
        </is>
      </c>
      <c r="B387" t="inlineStr">
        <is>
          <t>Vessbank</t>
        </is>
      </c>
      <c r="C387" t="inlineStr">
        <is>
          <t>covered</t>
        </is>
      </c>
      <c r="D387" t="n">
        <v>36.7</v>
      </c>
      <c r="E387">
        <f>ROUNDUP(D387, 0)</f>
        <v/>
      </c>
      <c r="F387">
        <f>IF(LOWER(C387)="covered", 10.40, 7.55)</f>
        <v/>
      </c>
      <c r="G387">
        <f>E387*F387</f>
        <v/>
      </c>
      <c r="H387" t="n">
        <v>384.8</v>
      </c>
      <c r="I387">
        <f>G387-H387</f>
        <v/>
      </c>
    </row>
    <row r="388">
      <c r="A388" t="inlineStr">
        <is>
          <t>VB-0711</t>
        </is>
      </c>
      <c r="B388" t="inlineStr">
        <is>
          <t>Vessbank</t>
        </is>
      </c>
      <c r="C388" t="inlineStr">
        <is>
          <t>covered</t>
        </is>
      </c>
      <c r="D388" t="n">
        <v>37.2</v>
      </c>
      <c r="E388">
        <f>ROUNDUP(D388, 0)</f>
        <v/>
      </c>
      <c r="F388">
        <f>IF(LOWER(C388)="covered", 10.40, 7.55)</f>
        <v/>
      </c>
      <c r="G388">
        <f>E388*F388</f>
        <v/>
      </c>
      <c r="H388" t="n">
        <v>395.2</v>
      </c>
      <c r="I388">
        <f>G388-H388</f>
        <v/>
      </c>
    </row>
    <row r="389">
      <c r="A389" t="inlineStr">
        <is>
          <t>VB-0712</t>
        </is>
      </c>
      <c r="B389" t="inlineStr">
        <is>
          <t>Vessbank</t>
        </is>
      </c>
      <c r="C389" t="inlineStr">
        <is>
          <t>covered</t>
        </is>
      </c>
      <c r="D389" t="n">
        <v>40.6</v>
      </c>
      <c r="E389">
        <f>ROUNDUP(D389, 0)</f>
        <v/>
      </c>
      <c r="F389">
        <f>IF(LOWER(C389)="covered", 10.40, 7.55)</f>
        <v/>
      </c>
      <c r="G389">
        <f>E389*F389</f>
        <v/>
      </c>
      <c r="H389" t="n">
        <v>426.4</v>
      </c>
      <c r="I389">
        <f>G389-H389</f>
        <v/>
      </c>
    </row>
    <row r="390">
      <c r="A390" t="inlineStr">
        <is>
          <t>VB-0713</t>
        </is>
      </c>
      <c r="B390" t="inlineStr">
        <is>
          <t>Vessbank</t>
        </is>
      </c>
      <c r="C390" t="inlineStr">
        <is>
          <t>covered</t>
        </is>
      </c>
      <c r="D390" t="n">
        <v>33.8</v>
      </c>
      <c r="E390">
        <f>ROUNDUP(D390, 0)</f>
        <v/>
      </c>
      <c r="F390">
        <f>IF(LOWER(C390)="covered", 10.40, 7.55)</f>
        <v/>
      </c>
      <c r="G390">
        <f>E390*F390</f>
        <v/>
      </c>
      <c r="H390" t="n">
        <v>353.6</v>
      </c>
      <c r="I390">
        <f>G390-H390</f>
        <v/>
      </c>
    </row>
    <row r="391">
      <c r="A391" t="inlineStr">
        <is>
          <t>VB-0714</t>
        </is>
      </c>
      <c r="B391" t="inlineStr">
        <is>
          <t>Vessbank</t>
        </is>
      </c>
      <c r="C391" t="inlineStr">
        <is>
          <t>covered</t>
        </is>
      </c>
      <c r="D391" t="n">
        <v>61.3</v>
      </c>
      <c r="E391">
        <f>ROUNDUP(D391, 0)</f>
        <v/>
      </c>
      <c r="F391">
        <f>IF(LOWER(C391)="covered", 10.40, 7.55)</f>
        <v/>
      </c>
      <c r="G391">
        <f>E391*F391</f>
        <v/>
      </c>
      <c r="H391" t="n">
        <v>644.8</v>
      </c>
      <c r="I391">
        <f>G391-H391</f>
        <v/>
      </c>
    </row>
    <row r="392">
      <c r="A392" t="inlineStr">
        <is>
          <t>VB-0715</t>
        </is>
      </c>
      <c r="B392" t="inlineStr">
        <is>
          <t>Vessbank</t>
        </is>
      </c>
      <c r="C392" t="inlineStr">
        <is>
          <t>covered</t>
        </is>
      </c>
      <c r="D392" t="n">
        <v>48.7</v>
      </c>
      <c r="E392">
        <f>ROUNDUP(D392, 0)</f>
        <v/>
      </c>
      <c r="F392">
        <f>IF(LOWER(C392)="covered", 10.40, 7.55)</f>
        <v/>
      </c>
      <c r="G392">
        <f>E392*F392</f>
        <v/>
      </c>
      <c r="H392" t="n">
        <v>509.6</v>
      </c>
      <c r="I392">
        <f>G392-H392</f>
        <v/>
      </c>
    </row>
    <row r="393">
      <c r="A393" t="inlineStr">
        <is>
          <t>VB-0716</t>
        </is>
      </c>
      <c r="B393" t="inlineStr">
        <is>
          <t>Vessbank</t>
        </is>
      </c>
      <c r="C393" t="inlineStr">
        <is>
          <t>covered</t>
        </is>
      </c>
      <c r="D393" t="n">
        <v>57.3</v>
      </c>
      <c r="E393">
        <f>ROUNDUP(D393, 0)</f>
        <v/>
      </c>
      <c r="F393">
        <f>IF(LOWER(C393)="covered", 10.40, 7.55)</f>
        <v/>
      </c>
      <c r="G393">
        <f>E393*F393</f>
        <v/>
      </c>
      <c r="H393" t="n">
        <v>603.2</v>
      </c>
      <c r="I393">
        <f>G393-H393</f>
        <v/>
      </c>
    </row>
    <row r="394">
      <c r="A394" t="inlineStr">
        <is>
          <t>VB-0717</t>
        </is>
      </c>
      <c r="B394" t="inlineStr">
        <is>
          <t>Vessbank</t>
        </is>
      </c>
      <c r="C394" t="inlineStr">
        <is>
          <t>covered</t>
        </is>
      </c>
      <c r="D394" t="n">
        <v>50.3</v>
      </c>
      <c r="E394">
        <f>ROUNDUP(D394, 0)</f>
        <v/>
      </c>
      <c r="F394">
        <f>IF(LOWER(C394)="covered", 10.40, 7.55)</f>
        <v/>
      </c>
      <c r="G394">
        <f>E394*F394</f>
        <v/>
      </c>
      <c r="H394" t="n">
        <v>530.4</v>
      </c>
      <c r="I394">
        <f>G394-H394</f>
        <v/>
      </c>
    </row>
    <row r="395">
      <c r="A395" t="inlineStr">
        <is>
          <t>VB-0718</t>
        </is>
      </c>
      <c r="B395" t="inlineStr">
        <is>
          <t>Vessbank</t>
        </is>
      </c>
      <c r="C395" t="inlineStr">
        <is>
          <t>covered</t>
        </is>
      </c>
      <c r="D395" t="n">
        <v>35.6</v>
      </c>
      <c r="E395">
        <f>ROUNDUP(D395, 0)</f>
        <v/>
      </c>
      <c r="F395">
        <f>IF(LOWER(C395)="covered", 10.40, 7.55)</f>
        <v/>
      </c>
      <c r="G395">
        <f>E395*F395</f>
        <v/>
      </c>
      <c r="H395" t="n">
        <v>374.4</v>
      </c>
      <c r="I395">
        <f>G395-H395</f>
        <v/>
      </c>
    </row>
    <row r="396">
      <c r="A396" t="inlineStr">
        <is>
          <t>VB-0719</t>
        </is>
      </c>
      <c r="B396" t="inlineStr">
        <is>
          <t>Vessbank</t>
        </is>
      </c>
      <c r="C396" t="inlineStr">
        <is>
          <t>covered</t>
        </is>
      </c>
      <c r="D396" t="n">
        <v>22.5</v>
      </c>
      <c r="E396">
        <f>ROUNDUP(D396, 0)</f>
        <v/>
      </c>
      <c r="F396">
        <f>IF(LOWER(C396)="covered", 10.40, 7.55)</f>
        <v/>
      </c>
      <c r="G396">
        <f>E396*F396</f>
        <v/>
      </c>
      <c r="H396" t="n">
        <v>332.8</v>
      </c>
      <c r="I396">
        <f>G396-H396</f>
        <v/>
      </c>
    </row>
    <row r="397">
      <c r="A397" t="inlineStr">
        <is>
          <t>VB-0720</t>
        </is>
      </c>
      <c r="B397" t="inlineStr">
        <is>
          <t>Vessbank</t>
        </is>
      </c>
      <c r="C397" t="inlineStr">
        <is>
          <t>covered</t>
        </is>
      </c>
      <c r="D397" t="n">
        <v>61.5</v>
      </c>
      <c r="E397">
        <f>ROUNDUP(D397, 0)</f>
        <v/>
      </c>
      <c r="F397">
        <f>IF(LOWER(C397)="covered", 10.40, 7.55)</f>
        <v/>
      </c>
      <c r="G397">
        <f>E397*F397</f>
        <v/>
      </c>
      <c r="H397" t="n">
        <v>644.8</v>
      </c>
      <c r="I397">
        <f>G397-H397</f>
        <v/>
      </c>
    </row>
    <row r="398">
      <c r="A398" t="inlineStr">
        <is>
          <t>VB-0721</t>
        </is>
      </c>
      <c r="B398" t="inlineStr">
        <is>
          <t>Vessbank</t>
        </is>
      </c>
      <c r="C398" t="inlineStr">
        <is>
          <t>covered</t>
        </is>
      </c>
      <c r="D398" t="n">
        <v>20.5</v>
      </c>
      <c r="E398">
        <f>ROUNDUP(D398, 0)</f>
        <v/>
      </c>
      <c r="F398">
        <f>IF(LOWER(C398)="covered", 10.40, 7.55)</f>
        <v/>
      </c>
      <c r="G398">
        <f>E398*F398</f>
        <v/>
      </c>
      <c r="H398" t="n">
        <v>291.2</v>
      </c>
      <c r="I398">
        <f>G398-H398</f>
        <v/>
      </c>
    </row>
    <row r="399">
      <c r="A399" t="inlineStr">
        <is>
          <t>VB-0722</t>
        </is>
      </c>
      <c r="B399" t="inlineStr">
        <is>
          <t>Vessbank</t>
        </is>
      </c>
      <c r="C399" t="inlineStr">
        <is>
          <t>covered</t>
        </is>
      </c>
      <c r="D399" t="n">
        <v>53.8</v>
      </c>
      <c r="E399">
        <f>ROUNDUP(D399, 0)</f>
        <v/>
      </c>
      <c r="F399">
        <f>IF(LOWER(C399)="covered", 10.40, 7.55)</f>
        <v/>
      </c>
      <c r="G399">
        <f>E399*F399</f>
        <v/>
      </c>
      <c r="H399" t="n">
        <v>561.6</v>
      </c>
      <c r="I399">
        <f>G399-H399</f>
        <v/>
      </c>
    </row>
    <row r="400">
      <c r="A400" t="inlineStr">
        <is>
          <t>VB-0723</t>
        </is>
      </c>
      <c r="B400" t="inlineStr">
        <is>
          <t>Vessbank</t>
        </is>
      </c>
      <c r="C400" t="inlineStr">
        <is>
          <t>covered</t>
        </is>
      </c>
      <c r="D400" t="n">
        <v>55.2</v>
      </c>
      <c r="E400">
        <f>ROUNDUP(D400, 0)</f>
        <v/>
      </c>
      <c r="F400">
        <f>IF(LOWER(C400)="covered", 10.40, 7.55)</f>
        <v/>
      </c>
      <c r="G400">
        <f>E400*F400</f>
        <v/>
      </c>
      <c r="H400" t="n">
        <v>582.4</v>
      </c>
      <c r="I400">
        <f>G400-H400</f>
        <v/>
      </c>
    </row>
    <row r="401">
      <c r="A401" t="inlineStr">
        <is>
          <t>VB-0724</t>
        </is>
      </c>
      <c r="B401" t="inlineStr">
        <is>
          <t>Vessbank</t>
        </is>
      </c>
      <c r="C401" t="inlineStr">
        <is>
          <t>covered</t>
        </is>
      </c>
      <c r="D401" t="n">
        <v>54.7</v>
      </c>
      <c r="E401">
        <f>ROUNDUP(D401, 0)</f>
        <v/>
      </c>
      <c r="F401">
        <f>IF(LOWER(C401)="covered", 10.40, 7.55)</f>
        <v/>
      </c>
      <c r="G401">
        <f>E401*F401</f>
        <v/>
      </c>
      <c r="H401" t="n">
        <v>572</v>
      </c>
      <c r="I401">
        <f>G401-H401</f>
        <v/>
      </c>
    </row>
    <row r="402">
      <c r="A402" t="inlineStr">
        <is>
          <t>VB-0801</t>
        </is>
      </c>
      <c r="B402" t="inlineStr">
        <is>
          <t>Vessbank</t>
        </is>
      </c>
      <c r="C402" t="inlineStr">
        <is>
          <t>covered</t>
        </is>
      </c>
      <c r="D402" t="n">
        <v>37.8</v>
      </c>
      <c r="E402">
        <f>ROUNDUP(D402, 0)</f>
        <v/>
      </c>
      <c r="F402">
        <f>IF(LOWER(C402)="covered", 10.40, 7.55)</f>
        <v/>
      </c>
      <c r="G402">
        <f>E402*F402</f>
        <v/>
      </c>
      <c r="H402" t="n">
        <v>416</v>
      </c>
      <c r="I402">
        <f>G402-H402</f>
        <v/>
      </c>
    </row>
    <row r="403">
      <c r="A403" t="inlineStr">
        <is>
          <t>VB-0802</t>
        </is>
      </c>
      <c r="B403" t="inlineStr">
        <is>
          <t>Vessbank</t>
        </is>
      </c>
      <c r="C403" t="inlineStr">
        <is>
          <t>covered</t>
        </is>
      </c>
      <c r="D403" t="n">
        <v>49.8</v>
      </c>
      <c r="E403">
        <f>ROUNDUP(D403, 0)</f>
        <v/>
      </c>
      <c r="F403">
        <f>IF(LOWER(C403)="covered", 10.40, 7.55)</f>
        <v/>
      </c>
      <c r="G403">
        <f>E403*F403</f>
        <v/>
      </c>
      <c r="H403" t="n">
        <v>520</v>
      </c>
      <c r="I403">
        <f>G403-H403</f>
        <v/>
      </c>
    </row>
    <row r="404">
      <c r="A404" t="inlineStr">
        <is>
          <t>VB-0803</t>
        </is>
      </c>
      <c r="B404" t="inlineStr">
        <is>
          <t>Vessbank</t>
        </is>
      </c>
      <c r="C404" t="inlineStr">
        <is>
          <t>covered</t>
        </is>
      </c>
      <c r="D404" t="n">
        <v>27.9</v>
      </c>
      <c r="E404">
        <f>ROUNDUP(D404, 0)</f>
        <v/>
      </c>
      <c r="F404">
        <f>IF(LOWER(C404)="covered", 10.40, 7.55)</f>
        <v/>
      </c>
      <c r="G404">
        <f>E404*F404</f>
        <v/>
      </c>
      <c r="H404" t="n">
        <v>291.2</v>
      </c>
      <c r="I404">
        <f>G404-H404</f>
        <v/>
      </c>
    </row>
    <row r="405">
      <c r="A405" t="inlineStr">
        <is>
          <t>VB-0804</t>
        </is>
      </c>
      <c r="B405" t="inlineStr">
        <is>
          <t>Vessbank</t>
        </is>
      </c>
      <c r="C405" t="inlineStr">
        <is>
          <t>covered</t>
        </is>
      </c>
      <c r="D405" t="n">
        <v>21.2</v>
      </c>
      <c r="E405">
        <f>ROUNDUP(D405, 0)</f>
        <v/>
      </c>
      <c r="F405">
        <f>IF(LOWER(C405)="covered", 10.40, 7.55)</f>
        <v/>
      </c>
      <c r="G405">
        <f>E405*F405</f>
        <v/>
      </c>
      <c r="H405" t="n">
        <v>249.6</v>
      </c>
      <c r="I405">
        <f>G405-H405</f>
        <v/>
      </c>
    </row>
    <row r="406">
      <c r="A406" t="inlineStr">
        <is>
          <t>VB-0805</t>
        </is>
      </c>
      <c r="B406" t="inlineStr">
        <is>
          <t>Vessbank</t>
        </is>
      </c>
      <c r="C406" t="inlineStr">
        <is>
          <t>covered</t>
        </is>
      </c>
      <c r="D406" t="n">
        <v>23.2</v>
      </c>
      <c r="E406">
        <f>ROUNDUP(D406, 0)</f>
        <v/>
      </c>
      <c r="F406">
        <f>IF(LOWER(C406)="covered", 10.40, 7.55)</f>
        <v/>
      </c>
      <c r="G406">
        <f>E406*F406</f>
        <v/>
      </c>
      <c r="H406" t="n">
        <v>332.8</v>
      </c>
      <c r="I406">
        <f>G406-H406</f>
        <v/>
      </c>
    </row>
    <row r="407">
      <c r="A407" t="inlineStr">
        <is>
          <t>VB-0806</t>
        </is>
      </c>
      <c r="B407" t="inlineStr">
        <is>
          <t>Vessbank</t>
        </is>
      </c>
      <c r="C407" t="inlineStr">
        <is>
          <t>covered</t>
        </is>
      </c>
      <c r="D407" t="n">
        <v>18.4</v>
      </c>
      <c r="E407">
        <f>ROUNDUP(D407, 0)</f>
        <v/>
      </c>
      <c r="F407">
        <f>IF(LOWER(C407)="covered", 10.40, 7.55)</f>
        <v/>
      </c>
      <c r="G407">
        <f>E407*F407</f>
        <v/>
      </c>
      <c r="H407" t="n">
        <v>332.8</v>
      </c>
      <c r="I407">
        <f>G407-H407</f>
        <v/>
      </c>
    </row>
    <row r="408">
      <c r="A408" t="inlineStr">
        <is>
          <t>VB-0807</t>
        </is>
      </c>
      <c r="B408" t="inlineStr">
        <is>
          <t>Vessbank</t>
        </is>
      </c>
      <c r="C408" t="inlineStr">
        <is>
          <t>covered</t>
        </is>
      </c>
      <c r="D408" t="n">
        <v>58.2</v>
      </c>
      <c r="E408">
        <f>ROUNDUP(D408, 0)</f>
        <v/>
      </c>
      <c r="F408">
        <f>IF(LOWER(C408)="covered", 10.40, 7.55)</f>
        <v/>
      </c>
      <c r="G408">
        <f>E408*F408</f>
        <v/>
      </c>
      <c r="H408" t="n">
        <v>613.6</v>
      </c>
      <c r="I408">
        <f>G408-H408</f>
        <v/>
      </c>
    </row>
    <row r="409">
      <c r="A409" t="inlineStr">
        <is>
          <t>VB-0808</t>
        </is>
      </c>
      <c r="B409" t="inlineStr">
        <is>
          <t>Vessbank</t>
        </is>
      </c>
      <c r="C409" t="inlineStr">
        <is>
          <t>covered</t>
        </is>
      </c>
      <c r="D409" t="n">
        <v>18.2</v>
      </c>
      <c r="E409">
        <f>ROUNDUP(D409, 0)</f>
        <v/>
      </c>
      <c r="F409">
        <f>IF(LOWER(C409)="covered", 10.40, 7.55)</f>
        <v/>
      </c>
      <c r="G409">
        <f>E409*F409</f>
        <v/>
      </c>
      <c r="H409" t="n">
        <v>249.6</v>
      </c>
      <c r="I409">
        <f>G409-H409</f>
        <v/>
      </c>
    </row>
    <row r="410">
      <c r="A410" t="inlineStr">
        <is>
          <t>VB-0810</t>
        </is>
      </c>
      <c r="B410" t="inlineStr">
        <is>
          <t>Vessbank</t>
        </is>
      </c>
      <c r="C410" t="inlineStr">
        <is>
          <t>covered</t>
        </is>
      </c>
      <c r="D410" t="n">
        <v>21.3</v>
      </c>
      <c r="E410">
        <f>ROUNDUP(D410, 0)</f>
        <v/>
      </c>
      <c r="F410">
        <f>IF(LOWER(C410)="covered", 10.40, 7.55)</f>
        <v/>
      </c>
      <c r="G410">
        <f>E410*F410</f>
        <v/>
      </c>
      <c r="H410" t="n">
        <v>332.8</v>
      </c>
      <c r="I410">
        <f>G410-H410</f>
        <v/>
      </c>
    </row>
    <row r="411">
      <c r="A411" t="inlineStr">
        <is>
          <t>VB-0811</t>
        </is>
      </c>
      <c r="B411" t="inlineStr">
        <is>
          <t>Vessbank</t>
        </is>
      </c>
      <c r="C411" t="inlineStr">
        <is>
          <t>covered</t>
        </is>
      </c>
      <c r="D411" t="n">
        <v>52.9</v>
      </c>
      <c r="E411">
        <f>ROUNDUP(D411, 0)</f>
        <v/>
      </c>
      <c r="F411">
        <f>IF(LOWER(C411)="covered", 10.40, 7.55)</f>
        <v/>
      </c>
      <c r="G411">
        <f>E411*F411</f>
        <v/>
      </c>
      <c r="H411" t="n">
        <v>551.2</v>
      </c>
      <c r="I411">
        <f>G411-H411</f>
        <v/>
      </c>
    </row>
    <row r="412">
      <c r="A412" t="inlineStr">
        <is>
          <t>VB-0812</t>
        </is>
      </c>
      <c r="B412" t="inlineStr">
        <is>
          <t>Vessbank</t>
        </is>
      </c>
      <c r="C412" t="inlineStr">
        <is>
          <t>covered</t>
        </is>
      </c>
      <c r="D412" t="n">
        <v>33.4</v>
      </c>
      <c r="E412">
        <f>ROUNDUP(D412, 0)</f>
        <v/>
      </c>
      <c r="F412">
        <f>IF(LOWER(C412)="covered", 10.40, 7.55)</f>
        <v/>
      </c>
      <c r="G412">
        <f>E412*F412</f>
        <v/>
      </c>
      <c r="H412" t="n">
        <v>353.6</v>
      </c>
      <c r="I412">
        <f>G412-H412</f>
        <v/>
      </c>
    </row>
    <row r="413">
      <c r="A413" t="inlineStr">
        <is>
          <t>VB-0813</t>
        </is>
      </c>
      <c r="B413" t="inlineStr">
        <is>
          <t>Vessbank</t>
        </is>
      </c>
      <c r="C413" t="inlineStr">
        <is>
          <t>covered</t>
        </is>
      </c>
      <c r="D413" t="n">
        <v>56.2</v>
      </c>
      <c r="E413">
        <f>ROUNDUP(D413, 0)</f>
        <v/>
      </c>
      <c r="F413">
        <f>IF(LOWER(C413)="covered", 10.40, 7.55)</f>
        <v/>
      </c>
      <c r="G413">
        <f>E413*F413</f>
        <v/>
      </c>
      <c r="H413" t="n">
        <v>592.8</v>
      </c>
      <c r="I413">
        <f>G413-H413</f>
        <v/>
      </c>
    </row>
    <row r="414">
      <c r="A414" t="inlineStr">
        <is>
          <t>VB-0814</t>
        </is>
      </c>
      <c r="B414" t="inlineStr">
        <is>
          <t>Vessbank</t>
        </is>
      </c>
      <c r="C414" t="inlineStr">
        <is>
          <t>covered</t>
        </is>
      </c>
      <c r="D414" t="n">
        <v>59.7</v>
      </c>
      <c r="E414">
        <f>ROUNDUP(D414, 0)</f>
        <v/>
      </c>
      <c r="F414">
        <f>IF(LOWER(C414)="covered", 10.40, 7.55)</f>
        <v/>
      </c>
      <c r="G414">
        <f>E414*F414</f>
        <v/>
      </c>
      <c r="H414" t="n">
        <v>624</v>
      </c>
      <c r="I414">
        <f>G414-H414</f>
        <v/>
      </c>
    </row>
    <row r="415">
      <c r="A415" t="inlineStr">
        <is>
          <t>VB-0815</t>
        </is>
      </c>
      <c r="B415" t="inlineStr">
        <is>
          <t>Vessbank</t>
        </is>
      </c>
      <c r="C415" t="inlineStr">
        <is>
          <t>covered</t>
        </is>
      </c>
      <c r="D415" t="n">
        <v>22.4</v>
      </c>
      <c r="E415">
        <f>ROUNDUP(D415, 0)</f>
        <v/>
      </c>
      <c r="F415">
        <f>IF(LOWER(C415)="covered", 10.40, 7.55)</f>
        <v/>
      </c>
      <c r="G415">
        <f>E415*F415</f>
        <v/>
      </c>
      <c r="H415" t="n">
        <v>374.4</v>
      </c>
      <c r="I415">
        <f>G415-H415</f>
        <v/>
      </c>
    </row>
    <row r="416">
      <c r="A416" t="inlineStr">
        <is>
          <t>VB-0816</t>
        </is>
      </c>
      <c r="B416" t="inlineStr">
        <is>
          <t>Vessbank</t>
        </is>
      </c>
      <c r="C416" t="inlineStr">
        <is>
          <t>covered</t>
        </is>
      </c>
      <c r="D416" t="n">
        <v>58.6</v>
      </c>
      <c r="E416">
        <f>ROUNDUP(D416, 0)</f>
        <v/>
      </c>
      <c r="F416">
        <f>IF(LOWER(C416)="covered", 10.40, 7.55)</f>
        <v/>
      </c>
      <c r="G416">
        <f>E416*F416</f>
        <v/>
      </c>
      <c r="H416" t="n">
        <v>613.6</v>
      </c>
      <c r="I416">
        <f>G416-H416</f>
        <v/>
      </c>
    </row>
    <row r="417">
      <c r="A417" t="inlineStr">
        <is>
          <t>VB-0817</t>
        </is>
      </c>
      <c r="B417" t="inlineStr">
        <is>
          <t>Vessbank</t>
        </is>
      </c>
      <c r="C417" t="inlineStr">
        <is>
          <t>covered</t>
        </is>
      </c>
      <c r="D417" t="n">
        <v>54.9</v>
      </c>
      <c r="E417">
        <f>ROUNDUP(D417, 0)</f>
        <v/>
      </c>
      <c r="F417">
        <f>IF(LOWER(C417)="covered", 10.40, 7.55)</f>
        <v/>
      </c>
      <c r="G417">
        <f>E417*F417</f>
        <v/>
      </c>
      <c r="H417" t="n">
        <v>572</v>
      </c>
      <c r="I417">
        <f>G417-H417</f>
        <v/>
      </c>
    </row>
    <row r="418">
      <c r="A418" t="inlineStr">
        <is>
          <t>VB-0818</t>
        </is>
      </c>
      <c r="B418" t="inlineStr">
        <is>
          <t>Vessbank</t>
        </is>
      </c>
      <c r="C418" t="inlineStr">
        <is>
          <t>covered</t>
        </is>
      </c>
      <c r="D418" t="n">
        <v>47</v>
      </c>
      <c r="E418">
        <f>ROUNDUP(D418, 0)</f>
        <v/>
      </c>
      <c r="F418">
        <f>IF(LOWER(C418)="covered", 10.40, 7.55)</f>
        <v/>
      </c>
      <c r="G418">
        <f>E418*F418</f>
        <v/>
      </c>
      <c r="H418" t="n">
        <v>488.8</v>
      </c>
      <c r="I418">
        <f>G418-H418</f>
        <v/>
      </c>
    </row>
    <row r="419">
      <c r="A419" t="inlineStr">
        <is>
          <t>VB-0819</t>
        </is>
      </c>
      <c r="B419" t="inlineStr">
        <is>
          <t>Vessbank</t>
        </is>
      </c>
      <c r="C419" t="inlineStr">
        <is>
          <t>covered</t>
        </is>
      </c>
      <c r="D419" t="n">
        <v>56.9</v>
      </c>
      <c r="E419">
        <f>ROUNDUP(D419, 0)</f>
        <v/>
      </c>
      <c r="F419">
        <f>IF(LOWER(C419)="covered", 10.40, 7.55)</f>
        <v/>
      </c>
      <c r="G419">
        <f>E419*F419</f>
        <v/>
      </c>
      <c r="H419" t="n">
        <v>592.8</v>
      </c>
      <c r="I419">
        <f>G419-H419</f>
        <v/>
      </c>
    </row>
    <row r="420">
      <c r="A420" t="inlineStr">
        <is>
          <t>VB-0820</t>
        </is>
      </c>
      <c r="B420" t="inlineStr">
        <is>
          <t>Vessbank</t>
        </is>
      </c>
      <c r="C420" t="inlineStr">
        <is>
          <t>covered</t>
        </is>
      </c>
      <c r="D420" t="n">
        <v>39.8</v>
      </c>
      <c r="E420">
        <f>ROUNDUP(D420, 0)</f>
        <v/>
      </c>
      <c r="F420">
        <f>IF(LOWER(C420)="covered", 10.40, 7.55)</f>
        <v/>
      </c>
      <c r="G420">
        <f>E420*F420</f>
        <v/>
      </c>
      <c r="H420" t="n">
        <v>416</v>
      </c>
      <c r="I420">
        <f>G420-H420</f>
        <v/>
      </c>
    </row>
    <row r="421">
      <c r="A421" t="inlineStr">
        <is>
          <t>VB-0821</t>
        </is>
      </c>
      <c r="B421" t="inlineStr">
        <is>
          <t>Vessbank</t>
        </is>
      </c>
      <c r="C421" t="inlineStr">
        <is>
          <t>covered</t>
        </is>
      </c>
      <c r="D421" t="n">
        <v>57.6</v>
      </c>
      <c r="E421">
        <f>ROUNDUP(D421, 0)</f>
        <v/>
      </c>
      <c r="F421">
        <f>IF(LOWER(C421)="covered", 10.40, 7.55)</f>
        <v/>
      </c>
      <c r="G421">
        <f>E421*F421</f>
        <v/>
      </c>
      <c r="H421" t="n">
        <v>603.2</v>
      </c>
      <c r="I421">
        <f>G421-H421</f>
        <v/>
      </c>
    </row>
    <row r="422">
      <c r="A422" t="inlineStr">
        <is>
          <t>VB-0822</t>
        </is>
      </c>
      <c r="B422" t="inlineStr">
        <is>
          <t>Vessbank</t>
        </is>
      </c>
      <c r="C422" t="inlineStr">
        <is>
          <t>covered</t>
        </is>
      </c>
      <c r="D422" t="n">
        <v>50.8</v>
      </c>
      <c r="E422">
        <f>ROUNDUP(D422, 0)</f>
        <v/>
      </c>
      <c r="F422">
        <f>IF(LOWER(C422)="covered", 10.40, 7.55)</f>
        <v/>
      </c>
      <c r="G422">
        <f>E422*F422</f>
        <v/>
      </c>
      <c r="H422" t="n">
        <v>530.4</v>
      </c>
      <c r="I422">
        <f>G422-H422</f>
        <v/>
      </c>
    </row>
    <row r="423">
      <c r="A423" t="inlineStr">
        <is>
          <t>VB-0823</t>
        </is>
      </c>
      <c r="B423" t="inlineStr">
        <is>
          <t>Vessbank</t>
        </is>
      </c>
      <c r="C423" t="inlineStr">
        <is>
          <t>covered</t>
        </is>
      </c>
      <c r="D423" t="n">
        <v>58.3</v>
      </c>
      <c r="E423">
        <f>ROUNDUP(D423, 0)</f>
        <v/>
      </c>
      <c r="F423">
        <f>IF(LOWER(C423)="covered", 10.40, 7.55)</f>
        <v/>
      </c>
      <c r="G423">
        <f>E423*F423</f>
        <v/>
      </c>
      <c r="H423" t="n">
        <v>613.6</v>
      </c>
      <c r="I423">
        <f>G423-H423</f>
        <v/>
      </c>
    </row>
    <row r="424">
      <c r="A424" t="inlineStr">
        <is>
          <t>VB-0901</t>
        </is>
      </c>
      <c r="B424" t="inlineStr">
        <is>
          <t>Vessbank</t>
        </is>
      </c>
      <c r="C424" t="inlineStr">
        <is>
          <t>covered</t>
        </is>
      </c>
      <c r="D424" t="n">
        <v>46.5</v>
      </c>
      <c r="E424">
        <f>ROUNDUP(D424, 0)</f>
        <v/>
      </c>
      <c r="F424">
        <f>IF(LOWER(C424)="covered", 10.40, 7.55)</f>
        <v/>
      </c>
      <c r="G424">
        <f>E424*F424</f>
        <v/>
      </c>
      <c r="H424" t="n">
        <v>488.8</v>
      </c>
      <c r="I424">
        <f>G424-H424</f>
        <v/>
      </c>
    </row>
    <row r="425">
      <c r="A425" t="inlineStr">
        <is>
          <t>VB-0902</t>
        </is>
      </c>
      <c r="B425" t="inlineStr">
        <is>
          <t>Vessbank</t>
        </is>
      </c>
      <c r="C425" t="inlineStr">
        <is>
          <t>covered</t>
        </is>
      </c>
      <c r="D425" t="n">
        <v>58.1</v>
      </c>
      <c r="E425">
        <f>ROUNDUP(D425, 0)</f>
        <v/>
      </c>
      <c r="F425">
        <f>IF(LOWER(C425)="covered", 10.40, 7.55)</f>
        <v/>
      </c>
      <c r="G425">
        <f>E425*F425</f>
        <v/>
      </c>
      <c r="H425" t="n">
        <v>613.6</v>
      </c>
      <c r="I425">
        <f>G425-H425</f>
        <v/>
      </c>
    </row>
    <row r="426">
      <c r="A426" t="inlineStr">
        <is>
          <t>VB-0903</t>
        </is>
      </c>
      <c r="B426" t="inlineStr">
        <is>
          <t>Vessbank</t>
        </is>
      </c>
      <c r="C426" t="inlineStr">
        <is>
          <t>covered</t>
        </is>
      </c>
      <c r="D426" t="n">
        <v>56.6</v>
      </c>
      <c r="E426">
        <f>ROUNDUP(D426, 0)</f>
        <v/>
      </c>
      <c r="F426">
        <f>IF(LOWER(C426)="covered", 10.40, 7.55)</f>
        <v/>
      </c>
      <c r="G426">
        <f>E426*F426</f>
        <v/>
      </c>
      <c r="H426" t="n">
        <v>592.8</v>
      </c>
      <c r="I426">
        <f>G426-H426</f>
        <v/>
      </c>
    </row>
    <row r="427">
      <c r="A427" t="inlineStr">
        <is>
          <t>VB-0904</t>
        </is>
      </c>
      <c r="B427" t="inlineStr">
        <is>
          <t>Vessbank</t>
        </is>
      </c>
      <c r="C427" t="inlineStr">
        <is>
          <t>covered</t>
        </is>
      </c>
      <c r="D427" t="n">
        <v>56.5</v>
      </c>
      <c r="E427">
        <f>ROUNDUP(D427, 0)</f>
        <v/>
      </c>
      <c r="F427">
        <f>IF(LOWER(C427)="covered", 10.40, 7.55)</f>
        <v/>
      </c>
      <c r="G427">
        <f>E427*F427</f>
        <v/>
      </c>
      <c r="H427" t="n">
        <v>592.8</v>
      </c>
      <c r="I427">
        <f>G427-H427</f>
        <v/>
      </c>
    </row>
    <row r="428">
      <c r="A428" t="inlineStr">
        <is>
          <t>VB-0905</t>
        </is>
      </c>
      <c r="B428" t="inlineStr">
        <is>
          <t>Vessbank</t>
        </is>
      </c>
      <c r="C428" t="inlineStr">
        <is>
          <t>covered</t>
        </is>
      </c>
      <c r="D428" t="n">
        <v>24.5</v>
      </c>
      <c r="E428">
        <f>ROUNDUP(D428, 0)</f>
        <v/>
      </c>
      <c r="F428">
        <f>IF(LOWER(C428)="covered", 10.40, 7.55)</f>
        <v/>
      </c>
      <c r="G428">
        <f>E428*F428</f>
        <v/>
      </c>
      <c r="H428" t="n">
        <v>291.2</v>
      </c>
      <c r="I428">
        <f>G428-H428</f>
        <v/>
      </c>
    </row>
    <row r="429">
      <c r="A429" t="inlineStr">
        <is>
          <t>VB-0906</t>
        </is>
      </c>
      <c r="B429" t="inlineStr">
        <is>
          <t>Vessbank</t>
        </is>
      </c>
      <c r="C429" t="inlineStr">
        <is>
          <t>covered</t>
        </is>
      </c>
      <c r="D429" t="n">
        <v>29.3</v>
      </c>
      <c r="E429">
        <f>ROUNDUP(D429, 0)</f>
        <v/>
      </c>
      <c r="F429">
        <f>IF(LOWER(C429)="covered", 10.40, 7.55)</f>
        <v/>
      </c>
      <c r="G429">
        <f>E429*F429</f>
        <v/>
      </c>
      <c r="H429" t="n">
        <v>374.4</v>
      </c>
      <c r="I429">
        <f>G429-H429</f>
        <v/>
      </c>
    </row>
    <row r="430">
      <c r="A430" t="inlineStr">
        <is>
          <t>VB-0907</t>
        </is>
      </c>
      <c r="B430" t="inlineStr">
        <is>
          <t>Vessbank</t>
        </is>
      </c>
      <c r="C430" t="inlineStr">
        <is>
          <t>covered</t>
        </is>
      </c>
      <c r="D430" t="n">
        <v>35.8</v>
      </c>
      <c r="E430">
        <f>ROUNDUP(D430, 0)</f>
        <v/>
      </c>
      <c r="F430">
        <f>IF(LOWER(C430)="covered", 10.40, 7.55)</f>
        <v/>
      </c>
      <c r="G430">
        <f>E430*F430</f>
        <v/>
      </c>
      <c r="H430" t="n">
        <v>374.4</v>
      </c>
      <c r="I430">
        <f>G430-H430</f>
        <v/>
      </c>
    </row>
    <row r="431">
      <c r="A431" t="inlineStr">
        <is>
          <t>VB-0908</t>
        </is>
      </c>
      <c r="B431" t="inlineStr">
        <is>
          <t>Vessbank</t>
        </is>
      </c>
      <c r="C431" t="inlineStr">
        <is>
          <t>covered</t>
        </is>
      </c>
      <c r="D431" t="n">
        <v>55.4</v>
      </c>
      <c r="E431">
        <f>ROUNDUP(D431, 0)</f>
        <v/>
      </c>
      <c r="F431">
        <f>IF(LOWER(C431)="covered", 10.40, 7.55)</f>
        <v/>
      </c>
      <c r="G431">
        <f>E431*F431</f>
        <v/>
      </c>
      <c r="H431" t="n">
        <v>582.4</v>
      </c>
      <c r="I431">
        <f>G431-H431</f>
        <v/>
      </c>
    </row>
    <row r="432">
      <c r="A432" t="inlineStr">
        <is>
          <t>VB-0909</t>
        </is>
      </c>
      <c r="B432" t="inlineStr">
        <is>
          <t>Vessbank</t>
        </is>
      </c>
      <c r="C432" t="inlineStr">
        <is>
          <t>covered</t>
        </is>
      </c>
      <c r="D432" t="n">
        <v>61.6</v>
      </c>
      <c r="E432">
        <f>ROUNDUP(D432, 0)</f>
        <v/>
      </c>
      <c r="F432">
        <f>IF(LOWER(C432)="covered", 10.40, 7.55)</f>
        <v/>
      </c>
      <c r="G432">
        <f>E432*F432</f>
        <v/>
      </c>
      <c r="H432" t="n">
        <v>644.8</v>
      </c>
      <c r="I432">
        <f>G432-H432</f>
        <v/>
      </c>
    </row>
    <row r="433">
      <c r="A433" t="inlineStr">
        <is>
          <t>VB-0910</t>
        </is>
      </c>
      <c r="B433" t="inlineStr">
        <is>
          <t>Vessbank</t>
        </is>
      </c>
      <c r="C433" t="inlineStr">
        <is>
          <t>covered</t>
        </is>
      </c>
      <c r="D433" t="n">
        <v>61</v>
      </c>
      <c r="E433">
        <f>ROUNDUP(D433, 0)</f>
        <v/>
      </c>
      <c r="F433">
        <f>IF(LOWER(C433)="covered", 10.40, 7.55)</f>
        <v/>
      </c>
      <c r="G433">
        <f>E433*F433</f>
        <v/>
      </c>
      <c r="H433" t="n">
        <v>634.4</v>
      </c>
      <c r="I433">
        <f>G433-H433</f>
        <v/>
      </c>
    </row>
    <row r="434">
      <c r="A434" t="inlineStr">
        <is>
          <t>VB-0911</t>
        </is>
      </c>
      <c r="B434" t="inlineStr">
        <is>
          <t>Vessbank</t>
        </is>
      </c>
      <c r="C434" t="inlineStr">
        <is>
          <t>covered</t>
        </is>
      </c>
      <c r="D434" t="n">
        <v>47.3</v>
      </c>
      <c r="E434">
        <f>ROUNDUP(D434, 0)</f>
        <v/>
      </c>
      <c r="F434">
        <f>IF(LOWER(C434)="covered", 10.40, 7.55)</f>
        <v/>
      </c>
      <c r="G434">
        <f>E434*F434</f>
        <v/>
      </c>
      <c r="H434" t="n">
        <v>499.2</v>
      </c>
      <c r="I434">
        <f>G434-H434</f>
        <v/>
      </c>
    </row>
    <row r="435">
      <c r="A435" t="inlineStr">
        <is>
          <t>VB-0912</t>
        </is>
      </c>
      <c r="B435" t="inlineStr">
        <is>
          <t>Vessbank</t>
        </is>
      </c>
      <c r="C435" t="inlineStr">
        <is>
          <t>covered</t>
        </is>
      </c>
      <c r="D435" t="n">
        <v>53.9</v>
      </c>
      <c r="E435">
        <f>ROUNDUP(D435, 0)</f>
        <v/>
      </c>
      <c r="F435">
        <f>IF(LOWER(C435)="covered", 10.40, 7.55)</f>
        <v/>
      </c>
      <c r="G435">
        <f>E435*F435</f>
        <v/>
      </c>
      <c r="H435" t="n">
        <v>561.6</v>
      </c>
      <c r="I435">
        <f>G435-H435</f>
        <v/>
      </c>
    </row>
    <row r="436">
      <c r="A436" t="inlineStr">
        <is>
          <t>VB-0913</t>
        </is>
      </c>
      <c r="B436" t="inlineStr">
        <is>
          <t>Vessbank</t>
        </is>
      </c>
      <c r="C436" t="inlineStr">
        <is>
          <t>covered</t>
        </is>
      </c>
      <c r="D436" t="n">
        <v>29.2</v>
      </c>
      <c r="E436">
        <f>ROUNDUP(D436, 0)</f>
        <v/>
      </c>
      <c r="F436">
        <f>IF(LOWER(C436)="covered", 10.40, 7.55)</f>
        <v/>
      </c>
      <c r="G436">
        <f>E436*F436</f>
        <v/>
      </c>
      <c r="H436" t="n">
        <v>312</v>
      </c>
      <c r="I436">
        <f>G436-H436</f>
        <v/>
      </c>
    </row>
    <row r="437">
      <c r="A437" t="inlineStr">
        <is>
          <t>VB-0914</t>
        </is>
      </c>
      <c r="B437" t="inlineStr">
        <is>
          <t>Vessbank</t>
        </is>
      </c>
      <c r="C437" t="inlineStr">
        <is>
          <t>covered</t>
        </is>
      </c>
      <c r="D437" t="n">
        <v>23.5</v>
      </c>
      <c r="E437">
        <f>ROUNDUP(D437, 0)</f>
        <v/>
      </c>
      <c r="F437">
        <f>IF(LOWER(C437)="covered", 10.40, 7.55)</f>
        <v/>
      </c>
      <c r="G437">
        <f>E437*F437</f>
        <v/>
      </c>
      <c r="H437" t="n">
        <v>291.2</v>
      </c>
      <c r="I437">
        <f>G437-H437</f>
        <v/>
      </c>
    </row>
    <row r="438">
      <c r="A438" t="inlineStr">
        <is>
          <t>VB-0915</t>
        </is>
      </c>
      <c r="B438" t="inlineStr">
        <is>
          <t>Vessbank</t>
        </is>
      </c>
      <c r="C438" t="inlineStr">
        <is>
          <t>covered</t>
        </is>
      </c>
      <c r="D438" t="n">
        <v>37</v>
      </c>
      <c r="E438">
        <f>ROUNDUP(D438, 0)</f>
        <v/>
      </c>
      <c r="F438">
        <f>IF(LOWER(C438)="covered", 10.40, 7.55)</f>
        <v/>
      </c>
      <c r="G438">
        <f>E438*F438</f>
        <v/>
      </c>
      <c r="H438" t="n">
        <v>384.8</v>
      </c>
      <c r="I438">
        <f>G438-H438</f>
        <v/>
      </c>
    </row>
    <row r="439">
      <c r="A439" t="inlineStr">
        <is>
          <t>VB-0916</t>
        </is>
      </c>
      <c r="B439" t="inlineStr">
        <is>
          <t>Vessbank</t>
        </is>
      </c>
      <c r="C439" t="inlineStr">
        <is>
          <t>covered</t>
        </is>
      </c>
      <c r="D439" t="n">
        <v>26.9</v>
      </c>
      <c r="E439">
        <f>ROUNDUP(D439, 0)</f>
        <v/>
      </c>
      <c r="F439">
        <f>IF(LOWER(C439)="covered", 10.40, 7.55)</f>
        <v/>
      </c>
      <c r="G439">
        <f>E439*F439</f>
        <v/>
      </c>
      <c r="H439" t="n">
        <v>280.8</v>
      </c>
      <c r="I439">
        <f>G439-H439</f>
        <v/>
      </c>
    </row>
    <row r="440">
      <c r="A440" t="inlineStr">
        <is>
          <t>VB-0917</t>
        </is>
      </c>
      <c r="B440" t="inlineStr">
        <is>
          <t>Vessbank</t>
        </is>
      </c>
      <c r="C440" t="inlineStr">
        <is>
          <t>covered</t>
        </is>
      </c>
      <c r="D440" t="n">
        <v>54.5</v>
      </c>
      <c r="E440">
        <f>ROUNDUP(D440, 0)</f>
        <v/>
      </c>
      <c r="F440">
        <f>IF(LOWER(C440)="covered", 10.40, 7.55)</f>
        <v/>
      </c>
      <c r="G440">
        <f>E440*F440</f>
        <v/>
      </c>
      <c r="H440" t="n">
        <v>572</v>
      </c>
      <c r="I440">
        <f>G440-H440</f>
        <v/>
      </c>
    </row>
    <row r="441">
      <c r="A441" t="inlineStr">
        <is>
          <t>VB-0918</t>
        </is>
      </c>
      <c r="B441" t="inlineStr">
        <is>
          <t>Vessbank</t>
        </is>
      </c>
      <c r="C441" t="inlineStr">
        <is>
          <t>covered</t>
        </is>
      </c>
      <c r="D441" t="n">
        <v>26.6</v>
      </c>
      <c r="E441">
        <f>ROUNDUP(D441, 0)</f>
        <v/>
      </c>
      <c r="F441">
        <f>IF(LOWER(C441)="covered", 10.40, 7.55)</f>
        <v/>
      </c>
      <c r="G441">
        <f>E441*F441</f>
        <v/>
      </c>
      <c r="H441" t="n">
        <v>374.4</v>
      </c>
      <c r="I441">
        <f>G441-H441</f>
        <v/>
      </c>
    </row>
    <row r="442">
      <c r="A442" t="inlineStr">
        <is>
          <t>VB-0919</t>
        </is>
      </c>
      <c r="B442" t="inlineStr">
        <is>
          <t>Vessbank</t>
        </is>
      </c>
      <c r="C442" t="inlineStr">
        <is>
          <t>covered</t>
        </is>
      </c>
      <c r="D442" t="n">
        <v>61.6</v>
      </c>
      <c r="E442">
        <f>ROUNDUP(D442, 0)</f>
        <v/>
      </c>
      <c r="F442">
        <f>IF(LOWER(C442)="covered", 10.40, 7.55)</f>
        <v/>
      </c>
      <c r="G442">
        <f>E442*F442</f>
        <v/>
      </c>
      <c r="H442" t="n">
        <v>644.8</v>
      </c>
      <c r="I442">
        <f>G442-H442</f>
        <v/>
      </c>
    </row>
    <row r="443">
      <c r="A443" t="inlineStr">
        <is>
          <t>VB-0920</t>
        </is>
      </c>
      <c r="B443" t="inlineStr">
        <is>
          <t>Vessbank</t>
        </is>
      </c>
      <c r="C443" t="inlineStr">
        <is>
          <t>covered</t>
        </is>
      </c>
      <c r="D443" t="n">
        <v>47.1</v>
      </c>
      <c r="E443">
        <f>ROUNDUP(D443, 0)</f>
        <v/>
      </c>
      <c r="F443">
        <f>IF(LOWER(C443)="covered", 10.40, 7.55)</f>
        <v/>
      </c>
      <c r="G443">
        <f>E443*F443</f>
        <v/>
      </c>
      <c r="H443" t="n">
        <v>499.2</v>
      </c>
      <c r="I443">
        <f>G443-H443</f>
        <v/>
      </c>
    </row>
    <row r="444">
      <c r="A444" t="inlineStr">
        <is>
          <t>VB-0921</t>
        </is>
      </c>
      <c r="B444" t="inlineStr">
        <is>
          <t>Vessbank</t>
        </is>
      </c>
      <c r="C444" t="inlineStr">
        <is>
          <t>covered</t>
        </is>
      </c>
      <c r="D444" t="n">
        <v>19.3</v>
      </c>
      <c r="E444">
        <f>ROUNDUP(D444, 0)</f>
        <v/>
      </c>
      <c r="F444">
        <f>IF(LOWER(C444)="covered", 10.40, 7.55)</f>
        <v/>
      </c>
      <c r="G444">
        <f>E444*F444</f>
        <v/>
      </c>
      <c r="H444" t="n">
        <v>291.2</v>
      </c>
      <c r="I444">
        <f>G444-H444</f>
        <v/>
      </c>
    </row>
    <row r="445">
      <c r="A445" t="inlineStr">
        <is>
          <t>VB-0923</t>
        </is>
      </c>
      <c r="B445" t="inlineStr">
        <is>
          <t>Vessbank</t>
        </is>
      </c>
      <c r="C445" t="inlineStr">
        <is>
          <t>covered</t>
        </is>
      </c>
      <c r="D445" t="n">
        <v>40.3</v>
      </c>
      <c r="E445">
        <f>ROUNDUP(D445, 0)</f>
        <v/>
      </c>
      <c r="F445">
        <f>IF(LOWER(C445)="covered", 10.40, 7.55)</f>
        <v/>
      </c>
      <c r="G445">
        <f>E445*F445</f>
        <v/>
      </c>
      <c r="H445" t="n">
        <v>426.4</v>
      </c>
      <c r="I445">
        <f>G445-H445</f>
        <v/>
      </c>
    </row>
    <row r="446">
      <c r="A446" t="inlineStr">
        <is>
          <t>VB-0924</t>
        </is>
      </c>
      <c r="B446" t="inlineStr">
        <is>
          <t>Vessbank</t>
        </is>
      </c>
      <c r="C446" t="inlineStr">
        <is>
          <t>covered</t>
        </is>
      </c>
      <c r="D446" t="n">
        <v>27.6</v>
      </c>
      <c r="E446">
        <f>ROUNDUP(D446, 0)</f>
        <v/>
      </c>
      <c r="F446">
        <f>IF(LOWER(C446)="covered", 10.40, 7.55)</f>
        <v/>
      </c>
      <c r="G446">
        <f>E446*F446</f>
        <v/>
      </c>
      <c r="H446" t="n">
        <v>332.8</v>
      </c>
      <c r="I446">
        <f>G446-H446</f>
        <v/>
      </c>
    </row>
    <row r="447">
      <c r="A447" t="inlineStr">
        <is>
          <t>VB-1001</t>
        </is>
      </c>
      <c r="B447" t="inlineStr">
        <is>
          <t>Vessbank</t>
        </is>
      </c>
      <c r="C447" t="inlineStr">
        <is>
          <t>covered</t>
        </is>
      </c>
      <c r="D447" t="n">
        <v>20.9</v>
      </c>
      <c r="E447">
        <f>ROUNDUP(D447, 0)</f>
        <v/>
      </c>
      <c r="F447">
        <f>IF(LOWER(C447)="covered", 10.40, 7.55)</f>
        <v/>
      </c>
      <c r="G447">
        <f>E447*F447</f>
        <v/>
      </c>
      <c r="H447" t="n">
        <v>416</v>
      </c>
      <c r="I447">
        <f>G447-H447</f>
        <v/>
      </c>
    </row>
    <row r="448">
      <c r="A448" t="inlineStr">
        <is>
          <t>VB-1002</t>
        </is>
      </c>
      <c r="B448" t="inlineStr">
        <is>
          <t>Vessbank</t>
        </is>
      </c>
      <c r="C448" t="inlineStr">
        <is>
          <t>covered</t>
        </is>
      </c>
      <c r="D448" t="n">
        <v>60</v>
      </c>
      <c r="E448">
        <f>ROUNDUP(D448, 0)</f>
        <v/>
      </c>
      <c r="F448">
        <f>IF(LOWER(C448)="covered", 10.40, 7.55)</f>
        <v/>
      </c>
      <c r="G448">
        <f>E448*F448</f>
        <v/>
      </c>
      <c r="H448" t="n">
        <v>624</v>
      </c>
      <c r="I448">
        <f>G448-H448</f>
        <v/>
      </c>
    </row>
    <row r="449">
      <c r="A449" t="inlineStr">
        <is>
          <t>VB-1004</t>
        </is>
      </c>
      <c r="B449" t="inlineStr">
        <is>
          <t>Vessbank</t>
        </is>
      </c>
      <c r="C449" t="inlineStr">
        <is>
          <t>covered</t>
        </is>
      </c>
      <c r="D449" t="n">
        <v>35.9</v>
      </c>
      <c r="E449">
        <f>ROUNDUP(D449, 0)</f>
        <v/>
      </c>
      <c r="F449">
        <f>IF(LOWER(C449)="covered", 10.40, 7.55)</f>
        <v/>
      </c>
      <c r="G449">
        <f>E449*F449</f>
        <v/>
      </c>
      <c r="H449" t="n">
        <v>374.4</v>
      </c>
      <c r="I449">
        <f>G449-H449</f>
        <v/>
      </c>
    </row>
    <row r="450">
      <c r="A450" t="inlineStr">
        <is>
          <t>VB-1005</t>
        </is>
      </c>
      <c r="B450" t="inlineStr">
        <is>
          <t>Vessbank</t>
        </is>
      </c>
      <c r="C450" t="inlineStr">
        <is>
          <t>covered</t>
        </is>
      </c>
      <c r="D450" t="n">
        <v>56.3</v>
      </c>
      <c r="E450">
        <f>ROUNDUP(D450, 0)</f>
        <v/>
      </c>
      <c r="F450">
        <f>IF(LOWER(C450)="covered", 10.40, 7.55)</f>
        <v/>
      </c>
      <c r="G450">
        <f>E450*F450</f>
        <v/>
      </c>
      <c r="H450" t="n">
        <v>592.8</v>
      </c>
      <c r="I450">
        <f>G450-H450</f>
        <v/>
      </c>
    </row>
    <row r="451">
      <c r="A451" t="inlineStr">
        <is>
          <t>VB-1006</t>
        </is>
      </c>
      <c r="B451" t="inlineStr">
        <is>
          <t>Vessbank</t>
        </is>
      </c>
      <c r="C451" t="inlineStr">
        <is>
          <t>covered</t>
        </is>
      </c>
      <c r="D451" t="n">
        <v>28.1</v>
      </c>
      <c r="E451">
        <f>ROUNDUP(D451, 0)</f>
        <v/>
      </c>
      <c r="F451">
        <f>IF(LOWER(C451)="covered", 10.40, 7.55)</f>
        <v/>
      </c>
      <c r="G451">
        <f>E451*F451</f>
        <v/>
      </c>
      <c r="H451" t="n">
        <v>301.6</v>
      </c>
      <c r="I451">
        <f>G451-H451</f>
        <v/>
      </c>
    </row>
    <row r="452">
      <c r="A452" t="inlineStr">
        <is>
          <t>VB-1007</t>
        </is>
      </c>
      <c r="B452" t="inlineStr">
        <is>
          <t>Vessbank</t>
        </is>
      </c>
      <c r="C452" t="inlineStr">
        <is>
          <t>covered</t>
        </is>
      </c>
      <c r="D452" t="n">
        <v>46.3</v>
      </c>
      <c r="E452">
        <f>ROUNDUP(D452, 0)</f>
        <v/>
      </c>
      <c r="F452">
        <f>IF(LOWER(C452)="covered", 10.40, 7.55)</f>
        <v/>
      </c>
      <c r="G452">
        <f>E452*F452</f>
        <v/>
      </c>
      <c r="H452" t="n">
        <v>488.8</v>
      </c>
      <c r="I452">
        <f>G452-H452</f>
        <v/>
      </c>
    </row>
    <row r="453">
      <c r="A453" t="inlineStr">
        <is>
          <t>VB-1008</t>
        </is>
      </c>
      <c r="B453" t="inlineStr">
        <is>
          <t>Vessbank</t>
        </is>
      </c>
      <c r="C453" t="inlineStr">
        <is>
          <t>covered</t>
        </is>
      </c>
      <c r="D453" t="n">
        <v>49.2</v>
      </c>
      <c r="E453">
        <f>ROUNDUP(D453, 0)</f>
        <v/>
      </c>
      <c r="F453">
        <f>IF(LOWER(C453)="covered", 10.40, 7.55)</f>
        <v/>
      </c>
      <c r="G453">
        <f>E453*F453</f>
        <v/>
      </c>
      <c r="H453" t="n">
        <v>520</v>
      </c>
      <c r="I453">
        <f>G453-H453</f>
        <v/>
      </c>
    </row>
    <row r="454">
      <c r="A454" t="inlineStr">
        <is>
          <t>VB-1009</t>
        </is>
      </c>
      <c r="B454" t="inlineStr">
        <is>
          <t>Vessbank</t>
        </is>
      </c>
      <c r="C454" t="inlineStr">
        <is>
          <t>covered</t>
        </is>
      </c>
      <c r="D454" t="n">
        <v>43.3</v>
      </c>
      <c r="E454">
        <f>ROUNDUP(D454, 0)</f>
        <v/>
      </c>
      <c r="F454">
        <f>IF(LOWER(C454)="covered", 10.40, 7.55)</f>
        <v/>
      </c>
      <c r="G454">
        <f>E454*F454</f>
        <v/>
      </c>
      <c r="H454" t="n">
        <v>457.6</v>
      </c>
      <c r="I454">
        <f>G454-H454</f>
        <v/>
      </c>
    </row>
    <row r="455">
      <c r="A455" t="inlineStr">
        <is>
          <t>VB-1010</t>
        </is>
      </c>
      <c r="B455" t="inlineStr">
        <is>
          <t>Vessbank</t>
        </is>
      </c>
      <c r="C455" t="inlineStr">
        <is>
          <t>covered</t>
        </is>
      </c>
      <c r="D455" t="n">
        <v>48.1</v>
      </c>
      <c r="E455">
        <f>ROUNDUP(D455, 0)</f>
        <v/>
      </c>
      <c r="F455">
        <f>IF(LOWER(C455)="covered", 10.40, 7.55)</f>
        <v/>
      </c>
      <c r="G455">
        <f>E455*F455</f>
        <v/>
      </c>
      <c r="H455" t="n">
        <v>509.6</v>
      </c>
      <c r="I455">
        <f>G455-H455</f>
        <v/>
      </c>
    </row>
    <row r="456">
      <c r="A456" t="inlineStr">
        <is>
          <t>VB-1011</t>
        </is>
      </c>
      <c r="B456" t="inlineStr">
        <is>
          <t>Vessbank</t>
        </is>
      </c>
      <c r="C456" t="inlineStr">
        <is>
          <t>covered</t>
        </is>
      </c>
      <c r="D456" t="n">
        <v>28.3</v>
      </c>
      <c r="E456">
        <f>ROUNDUP(D456, 0)</f>
        <v/>
      </c>
      <c r="F456">
        <f>IF(LOWER(C456)="covered", 10.40, 7.55)</f>
        <v/>
      </c>
      <c r="G456">
        <f>E456*F456</f>
        <v/>
      </c>
      <c r="H456" t="n">
        <v>416</v>
      </c>
      <c r="I456">
        <f>G456-H456</f>
        <v/>
      </c>
    </row>
    <row r="457">
      <c r="A457" t="inlineStr">
        <is>
          <t>VB-1012</t>
        </is>
      </c>
      <c r="B457" t="inlineStr">
        <is>
          <t>Vessbank</t>
        </is>
      </c>
      <c r="C457" t="inlineStr">
        <is>
          <t>covered</t>
        </is>
      </c>
      <c r="D457" t="n">
        <v>57.4</v>
      </c>
      <c r="E457">
        <f>ROUNDUP(D457, 0)</f>
        <v/>
      </c>
      <c r="F457">
        <f>IF(LOWER(C457)="covered", 10.40, 7.55)</f>
        <v/>
      </c>
      <c r="G457">
        <f>E457*F457</f>
        <v/>
      </c>
      <c r="H457" t="n">
        <v>603.2</v>
      </c>
      <c r="I457">
        <f>G457-H457</f>
        <v/>
      </c>
    </row>
    <row r="458">
      <c r="A458" t="inlineStr">
        <is>
          <t>VB-1013</t>
        </is>
      </c>
      <c r="B458" t="inlineStr">
        <is>
          <t>Vessbank</t>
        </is>
      </c>
      <c r="C458" t="inlineStr">
        <is>
          <t>covered</t>
        </is>
      </c>
      <c r="D458" t="n">
        <v>21</v>
      </c>
      <c r="E458">
        <f>ROUNDUP(D458, 0)</f>
        <v/>
      </c>
      <c r="F458">
        <f>IF(LOWER(C458)="covered", 10.40, 7.55)</f>
        <v/>
      </c>
      <c r="G458">
        <f>E458*F458</f>
        <v/>
      </c>
      <c r="H458" t="n">
        <v>291.2</v>
      </c>
      <c r="I458">
        <f>G458-H458</f>
        <v/>
      </c>
    </row>
    <row r="459">
      <c r="A459" t="inlineStr">
        <is>
          <t>VB-1014</t>
        </is>
      </c>
      <c r="B459" t="inlineStr">
        <is>
          <t>Vessbank</t>
        </is>
      </c>
      <c r="C459" t="inlineStr">
        <is>
          <t>covered</t>
        </is>
      </c>
      <c r="D459" t="n">
        <v>32.3</v>
      </c>
      <c r="E459">
        <f>ROUNDUP(D459, 0)</f>
        <v/>
      </c>
      <c r="F459">
        <f>IF(LOWER(C459)="covered", 10.40, 7.55)</f>
        <v/>
      </c>
      <c r="G459">
        <f>E459*F459</f>
        <v/>
      </c>
      <c r="H459" t="n">
        <v>374.4</v>
      </c>
      <c r="I459">
        <f>G459-H459</f>
        <v/>
      </c>
    </row>
    <row r="460">
      <c r="A460" t="inlineStr">
        <is>
          <t>VB-1015</t>
        </is>
      </c>
      <c r="B460" t="inlineStr">
        <is>
          <t>Vessbank</t>
        </is>
      </c>
      <c r="C460" t="inlineStr">
        <is>
          <t>covered</t>
        </is>
      </c>
      <c r="D460" t="n">
        <v>38.1</v>
      </c>
      <c r="E460">
        <f>ROUNDUP(D460, 0)</f>
        <v/>
      </c>
      <c r="F460">
        <f>IF(LOWER(C460)="covered", 10.40, 7.55)</f>
        <v/>
      </c>
      <c r="G460">
        <f>E460*F460</f>
        <v/>
      </c>
      <c r="H460" t="n">
        <v>405.6</v>
      </c>
      <c r="I460">
        <f>G460-H460</f>
        <v/>
      </c>
    </row>
    <row r="461">
      <c r="A461" t="inlineStr">
        <is>
          <t>VB-1016</t>
        </is>
      </c>
      <c r="B461" t="inlineStr">
        <is>
          <t>Vessbank</t>
        </is>
      </c>
      <c r="C461" t="inlineStr">
        <is>
          <t>covered</t>
        </is>
      </c>
      <c r="D461" t="n">
        <v>50</v>
      </c>
      <c r="E461">
        <f>ROUNDUP(D461, 0)</f>
        <v/>
      </c>
      <c r="F461">
        <f>IF(LOWER(C461)="covered", 10.40, 7.55)</f>
        <v/>
      </c>
      <c r="G461">
        <f>E461*F461</f>
        <v/>
      </c>
      <c r="H461" t="n">
        <v>520</v>
      </c>
      <c r="I461">
        <f>G461-H461</f>
        <v/>
      </c>
    </row>
    <row r="462">
      <c r="A462" t="inlineStr">
        <is>
          <t>VB-1017</t>
        </is>
      </c>
      <c r="B462" t="inlineStr">
        <is>
          <t>Vessbank</t>
        </is>
      </c>
      <c r="C462" t="inlineStr">
        <is>
          <t>covered</t>
        </is>
      </c>
      <c r="D462" t="n">
        <v>34.6</v>
      </c>
      <c r="E462">
        <f>ROUNDUP(D462, 0)</f>
        <v/>
      </c>
      <c r="F462">
        <f>IF(LOWER(C462)="covered", 10.40, 7.55)</f>
        <v/>
      </c>
      <c r="G462">
        <f>E462*F462</f>
        <v/>
      </c>
      <c r="H462" t="n">
        <v>364</v>
      </c>
      <c r="I462">
        <f>G462-H462</f>
        <v/>
      </c>
    </row>
    <row r="463">
      <c r="A463" t="inlineStr">
        <is>
          <t>VB-1018</t>
        </is>
      </c>
      <c r="B463" t="inlineStr">
        <is>
          <t>Vessbank</t>
        </is>
      </c>
      <c r="C463" t="inlineStr">
        <is>
          <t>covered</t>
        </is>
      </c>
      <c r="D463" t="n">
        <v>51.9</v>
      </c>
      <c r="E463">
        <f>ROUNDUP(D463, 0)</f>
        <v/>
      </c>
      <c r="F463">
        <f>IF(LOWER(C463)="covered", 10.40, 7.55)</f>
        <v/>
      </c>
      <c r="G463">
        <f>E463*F463</f>
        <v/>
      </c>
      <c r="H463" t="n">
        <v>540.8</v>
      </c>
      <c r="I463">
        <f>G463-H463</f>
        <v/>
      </c>
    </row>
    <row r="464">
      <c r="A464" t="inlineStr">
        <is>
          <t>VB-1019</t>
        </is>
      </c>
      <c r="B464" t="inlineStr">
        <is>
          <t>Vessbank</t>
        </is>
      </c>
      <c r="C464" t="inlineStr">
        <is>
          <t>covered</t>
        </is>
      </c>
      <c r="D464" t="n">
        <v>33.4</v>
      </c>
      <c r="E464">
        <f>ROUNDUP(D464, 0)</f>
        <v/>
      </c>
      <c r="F464">
        <f>IF(LOWER(C464)="covered", 10.40, 7.55)</f>
        <v/>
      </c>
      <c r="G464">
        <f>E464*F464</f>
        <v/>
      </c>
      <c r="H464" t="n">
        <v>353.6</v>
      </c>
      <c r="I464">
        <f>G464-H464</f>
        <v/>
      </c>
    </row>
    <row r="465">
      <c r="A465" t="inlineStr">
        <is>
          <t>VB-1020</t>
        </is>
      </c>
      <c r="B465" t="inlineStr">
        <is>
          <t>Vessbank</t>
        </is>
      </c>
      <c r="C465" t="inlineStr">
        <is>
          <t>covered</t>
        </is>
      </c>
      <c r="D465" t="n">
        <v>36.8</v>
      </c>
      <c r="E465">
        <f>ROUNDUP(D465, 0)</f>
        <v/>
      </c>
      <c r="F465">
        <f>IF(LOWER(C465)="covered", 10.40, 7.55)</f>
        <v/>
      </c>
      <c r="G465">
        <f>E465*F465</f>
        <v/>
      </c>
      <c r="H465" t="n">
        <v>416</v>
      </c>
      <c r="I465">
        <f>G465-H465</f>
        <v/>
      </c>
    </row>
    <row r="466">
      <c r="A466" t="inlineStr">
        <is>
          <t>VB-1021</t>
        </is>
      </c>
      <c r="B466" t="inlineStr">
        <is>
          <t>Vessbank</t>
        </is>
      </c>
      <c r="C466" t="inlineStr">
        <is>
          <t>covered</t>
        </is>
      </c>
      <c r="D466" t="n">
        <v>40.5</v>
      </c>
      <c r="E466">
        <f>ROUNDUP(D466, 0)</f>
        <v/>
      </c>
      <c r="F466">
        <f>IF(LOWER(C466)="covered", 10.40, 7.55)</f>
        <v/>
      </c>
      <c r="G466">
        <f>E466*F466</f>
        <v/>
      </c>
      <c r="H466" t="n">
        <v>426.4</v>
      </c>
      <c r="I466">
        <f>G466-H466</f>
        <v/>
      </c>
    </row>
    <row r="467">
      <c r="A467" t="inlineStr">
        <is>
          <t>VB-1022</t>
        </is>
      </c>
      <c r="B467" t="inlineStr">
        <is>
          <t>Vessbank</t>
        </is>
      </c>
      <c r="C467" t="inlineStr">
        <is>
          <t>covered</t>
        </is>
      </c>
      <c r="D467" t="n">
        <v>56.3</v>
      </c>
      <c r="E467">
        <f>ROUNDUP(D467, 0)</f>
        <v/>
      </c>
      <c r="F467">
        <f>IF(LOWER(C467)="covered", 10.40, 7.55)</f>
        <v/>
      </c>
      <c r="G467">
        <f>E467*F467</f>
        <v/>
      </c>
      <c r="H467" t="n">
        <v>592.8</v>
      </c>
      <c r="I467">
        <f>G467-H467</f>
        <v/>
      </c>
    </row>
    <row r="468">
      <c r="A468" t="inlineStr">
        <is>
          <t>VB-1023</t>
        </is>
      </c>
      <c r="B468" t="inlineStr">
        <is>
          <t>Vessbank</t>
        </is>
      </c>
      <c r="C468" t="inlineStr">
        <is>
          <t>covered</t>
        </is>
      </c>
      <c r="D468" t="n">
        <v>29.6</v>
      </c>
      <c r="E468">
        <f>ROUNDUP(D468, 0)</f>
        <v/>
      </c>
      <c r="F468">
        <f>IF(LOWER(C468)="covered", 10.40, 7.55)</f>
        <v/>
      </c>
      <c r="G468">
        <f>E468*F468</f>
        <v/>
      </c>
      <c r="H468" t="n">
        <v>312</v>
      </c>
      <c r="I468">
        <f>G468-H468</f>
        <v/>
      </c>
    </row>
    <row r="469">
      <c r="A469" t="inlineStr">
        <is>
          <t>VB-1024</t>
        </is>
      </c>
      <c r="B469" t="inlineStr">
        <is>
          <t>Vessbank</t>
        </is>
      </c>
      <c r="C469" t="inlineStr">
        <is>
          <t>covered</t>
        </is>
      </c>
      <c r="D469" t="n">
        <v>55.7</v>
      </c>
      <c r="E469">
        <f>ROUNDUP(D469, 0)</f>
        <v/>
      </c>
      <c r="F469">
        <f>IF(LOWER(C469)="covered", 10.40, 7.55)</f>
        <v/>
      </c>
      <c r="G469">
        <f>E469*F469</f>
        <v/>
      </c>
      <c r="H469" t="n">
        <v>582.4</v>
      </c>
      <c r="I469">
        <f>G469-H469</f>
        <v/>
      </c>
    </row>
    <row r="470">
      <c r="A470" t="inlineStr">
        <is>
          <t>EW-0101</t>
        </is>
      </c>
      <c r="B470" t="inlineStr">
        <is>
          <t>Eastwey</t>
        </is>
      </c>
      <c r="C470" t="inlineStr">
        <is>
          <t>open</t>
        </is>
      </c>
      <c r="D470" t="n">
        <v>29.3</v>
      </c>
      <c r="E470">
        <f>ROUNDUP(D470, 0)</f>
        <v/>
      </c>
      <c r="F470">
        <f>IF(LOWER(C470)="covered", 10.40, 7.55)</f>
        <v/>
      </c>
      <c r="G470">
        <f>E470*F470</f>
        <v/>
      </c>
      <c r="H470" t="n">
        <v>604</v>
      </c>
      <c r="I470">
        <f>G470-H470</f>
        <v/>
      </c>
    </row>
    <row r="471">
      <c r="A471" t="inlineStr">
        <is>
          <t>EW-0102</t>
        </is>
      </c>
      <c r="B471" t="inlineStr">
        <is>
          <t>Eastwey</t>
        </is>
      </c>
      <c r="C471" t="inlineStr">
        <is>
          <t>open</t>
        </is>
      </c>
      <c r="D471" t="n">
        <v>55.3</v>
      </c>
      <c r="E471">
        <f>ROUNDUP(D471, 0)</f>
        <v/>
      </c>
      <c r="F471">
        <f>IF(LOWER(C471)="covered", 10.40, 7.55)</f>
        <v/>
      </c>
      <c r="G471">
        <f>E471*F471</f>
        <v/>
      </c>
      <c r="H471" t="n">
        <v>422.8</v>
      </c>
      <c r="I471">
        <f>G471-H471</f>
        <v/>
      </c>
    </row>
    <row r="472">
      <c r="A472" t="inlineStr">
        <is>
          <t>EW-0103</t>
        </is>
      </c>
      <c r="B472" t="inlineStr">
        <is>
          <t>Eastwey</t>
        </is>
      </c>
      <c r="C472" t="inlineStr">
        <is>
          <t>open</t>
        </is>
      </c>
      <c r="D472" t="n">
        <v>42.6</v>
      </c>
      <c r="E472">
        <f>ROUNDUP(D472, 0)</f>
        <v/>
      </c>
      <c r="F472">
        <f>IF(LOWER(C472)="covered", 10.40, 7.55)</f>
        <v/>
      </c>
      <c r="G472">
        <f>E472*F472</f>
        <v/>
      </c>
      <c r="H472" t="n">
        <v>324.65</v>
      </c>
      <c r="I472">
        <f>G472-H472</f>
        <v/>
      </c>
    </row>
    <row r="473">
      <c r="A473" t="inlineStr">
        <is>
          <t>EW-0105</t>
        </is>
      </c>
      <c r="B473" t="inlineStr">
        <is>
          <t>Eastwey</t>
        </is>
      </c>
      <c r="C473" t="inlineStr">
        <is>
          <t>open</t>
        </is>
      </c>
      <c r="D473" t="n">
        <v>60.2</v>
      </c>
      <c r="E473">
        <f>ROUNDUP(D473, 0)</f>
        <v/>
      </c>
      <c r="F473">
        <f>IF(LOWER(C473)="covered", 10.40, 7.55)</f>
        <v/>
      </c>
      <c r="G473">
        <f>E473*F473</f>
        <v/>
      </c>
      <c r="H473" t="n">
        <v>460.55</v>
      </c>
      <c r="I473">
        <f>G473-H473</f>
        <v/>
      </c>
    </row>
    <row r="474">
      <c r="A474" t="inlineStr">
        <is>
          <t>EW-0106</t>
        </is>
      </c>
      <c r="B474" t="inlineStr">
        <is>
          <t>Eastwey</t>
        </is>
      </c>
      <c r="C474" t="inlineStr">
        <is>
          <t>open</t>
        </is>
      </c>
      <c r="D474" t="n">
        <v>47.5</v>
      </c>
      <c r="E474">
        <f>ROUNDUP(D474, 0)</f>
        <v/>
      </c>
      <c r="F474">
        <f>IF(LOWER(C474)="covered", 10.40, 7.55)</f>
        <v/>
      </c>
      <c r="G474">
        <f>E474*F474</f>
        <v/>
      </c>
      <c r="H474" t="n">
        <v>362.4</v>
      </c>
      <c r="I474">
        <f>G474-H474</f>
        <v/>
      </c>
    </row>
    <row r="475">
      <c r="A475" t="inlineStr">
        <is>
          <t>EW-0107</t>
        </is>
      </c>
      <c r="B475" t="inlineStr">
        <is>
          <t>Eastwey</t>
        </is>
      </c>
      <c r="C475" t="inlineStr">
        <is>
          <t>open</t>
        </is>
      </c>
      <c r="D475" t="n">
        <v>23.7</v>
      </c>
      <c r="E475">
        <f>ROUNDUP(D475, 0)</f>
        <v/>
      </c>
      <c r="F475">
        <f>IF(LOWER(C475)="covered", 10.40, 7.55)</f>
        <v/>
      </c>
      <c r="G475">
        <f>E475*F475</f>
        <v/>
      </c>
      <c r="H475" t="n">
        <v>211.4</v>
      </c>
      <c r="I475">
        <f>G475-H475</f>
        <v/>
      </c>
    </row>
    <row r="476">
      <c r="A476" t="inlineStr">
        <is>
          <t>EW-0108</t>
        </is>
      </c>
      <c r="B476" t="inlineStr">
        <is>
          <t>Eastwey</t>
        </is>
      </c>
      <c r="C476" t="inlineStr">
        <is>
          <t>open</t>
        </is>
      </c>
      <c r="D476" t="n">
        <v>59.3</v>
      </c>
      <c r="E476">
        <f>ROUNDUP(D476, 0)</f>
        <v/>
      </c>
      <c r="F476">
        <f>IF(LOWER(C476)="covered", 10.40, 7.55)</f>
        <v/>
      </c>
      <c r="G476">
        <f>E476*F476</f>
        <v/>
      </c>
      <c r="H476" t="n">
        <v>453</v>
      </c>
      <c r="I476">
        <f>G476-H476</f>
        <v/>
      </c>
    </row>
    <row r="477">
      <c r="A477" t="inlineStr">
        <is>
          <t>EW-0109</t>
        </is>
      </c>
      <c r="B477" t="inlineStr">
        <is>
          <t>Eastwey</t>
        </is>
      </c>
      <c r="C477" t="inlineStr">
        <is>
          <t>open</t>
        </is>
      </c>
      <c r="D477" t="n">
        <v>30.9</v>
      </c>
      <c r="E477">
        <f>ROUNDUP(D477, 0)</f>
        <v/>
      </c>
      <c r="F477">
        <f>IF(LOWER(C477)="covered", 10.40, 7.55)</f>
        <v/>
      </c>
      <c r="G477">
        <f>E477*F477</f>
        <v/>
      </c>
      <c r="H477" t="n">
        <v>453</v>
      </c>
      <c r="I477">
        <f>G477-H477</f>
        <v/>
      </c>
    </row>
    <row r="478">
      <c r="A478" t="inlineStr">
        <is>
          <t>EW-0110</t>
        </is>
      </c>
      <c r="B478" t="inlineStr">
        <is>
          <t>Eastwey</t>
        </is>
      </c>
      <c r="C478" t="inlineStr">
        <is>
          <t>open</t>
        </is>
      </c>
      <c r="D478" t="n">
        <v>36.3</v>
      </c>
      <c r="E478">
        <f>ROUNDUP(D478, 0)</f>
        <v/>
      </c>
      <c r="F478">
        <f>IF(LOWER(C478)="covered", 10.40, 7.55)</f>
        <v/>
      </c>
      <c r="G478">
        <f>E478*F478</f>
        <v/>
      </c>
      <c r="H478" t="n">
        <v>279.35</v>
      </c>
      <c r="I478">
        <f>G478-H478</f>
        <v/>
      </c>
    </row>
    <row r="479">
      <c r="A479" t="inlineStr">
        <is>
          <t>EW-0111</t>
        </is>
      </c>
      <c r="B479" t="inlineStr">
        <is>
          <t>Eastwey</t>
        </is>
      </c>
      <c r="C479" t="inlineStr">
        <is>
          <t>open</t>
        </is>
      </c>
      <c r="D479" t="n">
        <v>43.9</v>
      </c>
      <c r="E479">
        <f>ROUNDUP(D479, 0)</f>
        <v/>
      </c>
      <c r="F479">
        <f>IF(LOWER(C479)="covered", 10.40, 7.55)</f>
        <v/>
      </c>
      <c r="G479">
        <f>E479*F479</f>
        <v/>
      </c>
      <c r="H479" t="n">
        <v>332.2</v>
      </c>
      <c r="I479">
        <f>G479-H479</f>
        <v/>
      </c>
    </row>
    <row r="480">
      <c r="A480" t="inlineStr">
        <is>
          <t>EW-0112</t>
        </is>
      </c>
      <c r="B480" t="inlineStr">
        <is>
          <t>Eastwey</t>
        </is>
      </c>
      <c r="C480" t="inlineStr">
        <is>
          <t>open</t>
        </is>
      </c>
      <c r="D480" t="n">
        <v>38.7</v>
      </c>
      <c r="E480">
        <f>ROUNDUP(D480, 0)</f>
        <v/>
      </c>
      <c r="F480">
        <f>IF(LOWER(C480)="covered", 10.40, 7.55)</f>
        <v/>
      </c>
      <c r="G480">
        <f>E480*F480</f>
        <v/>
      </c>
      <c r="H480" t="n">
        <v>528.5</v>
      </c>
      <c r="I480">
        <f>G480-H480</f>
        <v/>
      </c>
    </row>
    <row r="481">
      <c r="A481" t="inlineStr">
        <is>
          <t>EW-0113</t>
        </is>
      </c>
      <c r="B481" t="inlineStr">
        <is>
          <t>Eastwey</t>
        </is>
      </c>
      <c r="C481" t="inlineStr">
        <is>
          <t>open</t>
        </is>
      </c>
      <c r="D481" t="n">
        <v>61.3</v>
      </c>
      <c r="E481">
        <f>ROUNDUP(D481, 0)</f>
        <v/>
      </c>
      <c r="F481">
        <f>IF(LOWER(C481)="covered", 10.40, 7.55)</f>
        <v/>
      </c>
      <c r="G481">
        <f>E481*F481</f>
        <v/>
      </c>
      <c r="H481" t="n">
        <v>468.1</v>
      </c>
      <c r="I481">
        <f>G481-H481</f>
        <v/>
      </c>
    </row>
    <row r="482">
      <c r="A482" t="inlineStr">
        <is>
          <t>EW-0114</t>
        </is>
      </c>
      <c r="B482" t="inlineStr">
        <is>
          <t>Eastwey</t>
        </is>
      </c>
      <c r="C482" t="inlineStr">
        <is>
          <t>open</t>
        </is>
      </c>
      <c r="D482" t="n">
        <v>41.6</v>
      </c>
      <c r="E482">
        <f>ROUNDUP(D482, 0)</f>
        <v/>
      </c>
      <c r="F482">
        <f>IF(LOWER(C482)="covered", 10.40, 7.55)</f>
        <v/>
      </c>
      <c r="G482">
        <f>E482*F482</f>
        <v/>
      </c>
      <c r="H482" t="n">
        <v>317.1</v>
      </c>
      <c r="I482">
        <f>G482-H482</f>
        <v/>
      </c>
    </row>
    <row r="483">
      <c r="A483" t="inlineStr">
        <is>
          <t>EW-0115</t>
        </is>
      </c>
      <c r="B483" t="inlineStr">
        <is>
          <t>Eastwey</t>
        </is>
      </c>
      <c r="C483" t="inlineStr">
        <is>
          <t>open</t>
        </is>
      </c>
      <c r="D483" t="n">
        <v>38.4</v>
      </c>
      <c r="E483">
        <f>ROUNDUP(D483, 0)</f>
        <v/>
      </c>
      <c r="F483">
        <f>IF(LOWER(C483)="covered", 10.40, 7.55)</f>
        <v/>
      </c>
      <c r="G483">
        <f>E483*F483</f>
        <v/>
      </c>
      <c r="H483" t="n">
        <v>294.45</v>
      </c>
      <c r="I483">
        <f>G483-H483</f>
        <v/>
      </c>
    </row>
    <row r="484">
      <c r="A484" t="inlineStr">
        <is>
          <t>EW-0116</t>
        </is>
      </c>
      <c r="B484" t="inlineStr">
        <is>
          <t>Eastwey</t>
        </is>
      </c>
      <c r="C484" t="inlineStr">
        <is>
          <t>open</t>
        </is>
      </c>
      <c r="D484" t="n">
        <v>25.7</v>
      </c>
      <c r="E484">
        <f>ROUNDUP(D484, 0)</f>
        <v/>
      </c>
      <c r="F484">
        <f>IF(LOWER(C484)="covered", 10.40, 7.55)</f>
        <v/>
      </c>
      <c r="G484">
        <f>E484*F484</f>
        <v/>
      </c>
      <c r="H484" t="n">
        <v>241.6</v>
      </c>
      <c r="I484">
        <f>G484-H484</f>
        <v/>
      </c>
    </row>
    <row r="485">
      <c r="A485" t="inlineStr">
        <is>
          <t>EW-0118</t>
        </is>
      </c>
      <c r="B485" t="inlineStr">
        <is>
          <t>Eastwey</t>
        </is>
      </c>
      <c r="C485" t="inlineStr">
        <is>
          <t>open</t>
        </is>
      </c>
      <c r="D485" t="n">
        <v>48.3</v>
      </c>
      <c r="E485">
        <f>ROUNDUP(D485, 0)</f>
        <v/>
      </c>
      <c r="F485">
        <f>IF(LOWER(C485)="covered", 10.40, 7.55)</f>
        <v/>
      </c>
      <c r="G485">
        <f>E485*F485</f>
        <v/>
      </c>
      <c r="H485" t="n">
        <v>369.95</v>
      </c>
      <c r="I485">
        <f>G485-H485</f>
        <v/>
      </c>
    </row>
    <row r="486">
      <c r="A486" t="inlineStr">
        <is>
          <t>EW-0119</t>
        </is>
      </c>
      <c r="B486" t="inlineStr">
        <is>
          <t>Eastwey</t>
        </is>
      </c>
      <c r="C486" t="inlineStr">
        <is>
          <t>open</t>
        </is>
      </c>
      <c r="D486" t="n">
        <v>48.3</v>
      </c>
      <c r="E486">
        <f>ROUNDUP(D486, 0)</f>
        <v/>
      </c>
      <c r="F486">
        <f>IF(LOWER(C486)="covered", 10.40, 7.55)</f>
        <v/>
      </c>
      <c r="G486">
        <f>E486*F486</f>
        <v/>
      </c>
      <c r="H486" t="n">
        <v>369.95</v>
      </c>
      <c r="I486">
        <f>G486-H486</f>
        <v/>
      </c>
    </row>
    <row r="487">
      <c r="A487" t="inlineStr">
        <is>
          <t>EW-0120</t>
        </is>
      </c>
      <c r="B487" t="inlineStr">
        <is>
          <t>Eastwey</t>
        </is>
      </c>
      <c r="C487" t="inlineStr">
        <is>
          <t>open</t>
        </is>
      </c>
      <c r="D487" t="n">
        <v>59.3</v>
      </c>
      <c r="E487">
        <f>ROUNDUP(D487, 0)</f>
        <v/>
      </c>
      <c r="F487">
        <f>IF(LOWER(C487)="covered", 10.40, 7.55)</f>
        <v/>
      </c>
      <c r="G487">
        <f>E487*F487</f>
        <v/>
      </c>
      <c r="H487" t="n">
        <v>604</v>
      </c>
      <c r="I487">
        <f>G487-H487</f>
        <v/>
      </c>
    </row>
    <row r="488">
      <c r="A488" t="inlineStr">
        <is>
          <t>EW-0121</t>
        </is>
      </c>
      <c r="B488" t="inlineStr">
        <is>
          <t>Eastwey</t>
        </is>
      </c>
      <c r="C488" t="inlineStr">
        <is>
          <t>open</t>
        </is>
      </c>
      <c r="D488" t="n">
        <v>37.9</v>
      </c>
      <c r="E488">
        <f>ROUNDUP(D488, 0)</f>
        <v/>
      </c>
      <c r="F488">
        <f>IF(LOWER(C488)="covered", 10.40, 7.55)</f>
        <v/>
      </c>
      <c r="G488">
        <f>E488*F488</f>
        <v/>
      </c>
      <c r="H488" t="n">
        <v>286.9</v>
      </c>
      <c r="I488">
        <f>G488-H488</f>
        <v/>
      </c>
    </row>
    <row r="489">
      <c r="A489" t="inlineStr">
        <is>
          <t>EW-0122</t>
        </is>
      </c>
      <c r="B489" t="inlineStr">
        <is>
          <t>Eastwey</t>
        </is>
      </c>
      <c r="C489" t="inlineStr">
        <is>
          <t>open</t>
        </is>
      </c>
      <c r="D489" t="n">
        <v>25.7</v>
      </c>
      <c r="E489">
        <f>ROUNDUP(D489, 0)</f>
        <v/>
      </c>
      <c r="F489">
        <f>IF(LOWER(C489)="covered", 10.40, 7.55)</f>
        <v/>
      </c>
      <c r="G489">
        <f>E489*F489</f>
        <v/>
      </c>
      <c r="H489" t="n">
        <v>528.5</v>
      </c>
      <c r="I489">
        <f>G489-H489</f>
        <v/>
      </c>
    </row>
    <row r="490">
      <c r="A490" t="inlineStr">
        <is>
          <t>EW-0123</t>
        </is>
      </c>
      <c r="B490" t="inlineStr">
        <is>
          <t>Eastwey</t>
        </is>
      </c>
      <c r="C490" t="inlineStr">
        <is>
          <t>open</t>
        </is>
      </c>
      <c r="D490" t="n">
        <v>44.4</v>
      </c>
      <c r="E490">
        <f>ROUNDUP(D490, 0)</f>
        <v/>
      </c>
      <c r="F490">
        <f>IF(LOWER(C490)="covered", 10.40, 7.55)</f>
        <v/>
      </c>
      <c r="G490">
        <f>E490*F490</f>
        <v/>
      </c>
      <c r="H490" t="n">
        <v>339.75</v>
      </c>
      <c r="I490">
        <f>G490-H490</f>
        <v/>
      </c>
    </row>
    <row r="491">
      <c r="A491" t="inlineStr">
        <is>
          <t>EW-0124</t>
        </is>
      </c>
      <c r="B491" t="inlineStr">
        <is>
          <t>Eastwey</t>
        </is>
      </c>
      <c r="C491" t="inlineStr">
        <is>
          <t>open</t>
        </is>
      </c>
      <c r="D491" t="n">
        <v>55.7</v>
      </c>
      <c r="E491">
        <f>ROUNDUP(D491, 0)</f>
        <v/>
      </c>
      <c r="F491">
        <f>IF(LOWER(C491)="covered", 10.40, 7.55)</f>
        <v/>
      </c>
      <c r="G491">
        <f>E491*F491</f>
        <v/>
      </c>
      <c r="H491" t="n">
        <v>422.8</v>
      </c>
      <c r="I491">
        <f>G491-H491</f>
        <v/>
      </c>
    </row>
    <row r="492">
      <c r="A492" t="inlineStr">
        <is>
          <t>EW-0201</t>
        </is>
      </c>
      <c r="B492" t="inlineStr">
        <is>
          <t>Eastwey</t>
        </is>
      </c>
      <c r="C492" t="inlineStr">
        <is>
          <t>open</t>
        </is>
      </c>
      <c r="D492" t="n">
        <v>39.3</v>
      </c>
      <c r="E492">
        <f>ROUNDUP(D492, 0)</f>
        <v/>
      </c>
      <c r="F492">
        <f>IF(LOWER(C492)="covered", 10.40, 7.55)</f>
        <v/>
      </c>
      <c r="G492">
        <f>E492*F492</f>
        <v/>
      </c>
      <c r="H492" t="n">
        <v>302</v>
      </c>
      <c r="I492">
        <f>G492-H492</f>
        <v/>
      </c>
    </row>
    <row r="493">
      <c r="A493" t="inlineStr">
        <is>
          <t>EW-0202</t>
        </is>
      </c>
      <c r="B493" t="inlineStr">
        <is>
          <t>Eastwey</t>
        </is>
      </c>
      <c r="C493" t="inlineStr">
        <is>
          <t>open</t>
        </is>
      </c>
      <c r="D493" t="n">
        <v>49.2</v>
      </c>
      <c r="E493">
        <f>ROUNDUP(D493, 0)</f>
        <v/>
      </c>
      <c r="F493">
        <f>IF(LOWER(C493)="covered", 10.40, 7.55)</f>
        <v/>
      </c>
      <c r="G493">
        <f>E493*F493</f>
        <v/>
      </c>
      <c r="H493" t="n">
        <v>377.5</v>
      </c>
      <c r="I493">
        <f>G493-H493</f>
        <v/>
      </c>
    </row>
    <row r="494">
      <c r="A494" t="inlineStr">
        <is>
          <t>EW-0203</t>
        </is>
      </c>
      <c r="B494" t="inlineStr">
        <is>
          <t>Eastwey</t>
        </is>
      </c>
      <c r="C494" t="inlineStr">
        <is>
          <t>open</t>
        </is>
      </c>
      <c r="D494" t="n">
        <v>34.1</v>
      </c>
      <c r="E494">
        <f>ROUNDUP(D494, 0)</f>
        <v/>
      </c>
      <c r="F494">
        <f>IF(LOWER(C494)="covered", 10.40, 7.55)</f>
        <v/>
      </c>
      <c r="G494">
        <f>E494*F494</f>
        <v/>
      </c>
      <c r="H494" t="n">
        <v>264.25</v>
      </c>
      <c r="I494">
        <f>G494-H494</f>
        <v/>
      </c>
    </row>
    <row r="495">
      <c r="A495" t="inlineStr">
        <is>
          <t>EW-0204</t>
        </is>
      </c>
      <c r="B495" t="inlineStr">
        <is>
          <t>Eastwey</t>
        </is>
      </c>
      <c r="C495" t="inlineStr">
        <is>
          <t>open</t>
        </is>
      </c>
      <c r="D495" t="n">
        <v>21.1</v>
      </c>
      <c r="E495">
        <f>ROUNDUP(D495, 0)</f>
        <v/>
      </c>
      <c r="F495">
        <f>IF(LOWER(C495)="covered", 10.40, 7.55)</f>
        <v/>
      </c>
      <c r="G495">
        <f>E495*F495</f>
        <v/>
      </c>
      <c r="H495" t="n">
        <v>302</v>
      </c>
      <c r="I495">
        <f>G495-H495</f>
        <v/>
      </c>
    </row>
    <row r="496">
      <c r="A496" t="inlineStr">
        <is>
          <t>EW-0206</t>
        </is>
      </c>
      <c r="B496" t="inlineStr">
        <is>
          <t>Eastwey</t>
        </is>
      </c>
      <c r="C496" t="inlineStr">
        <is>
          <t>open</t>
        </is>
      </c>
      <c r="D496" t="n">
        <v>35.2</v>
      </c>
      <c r="E496">
        <f>ROUNDUP(D496, 0)</f>
        <v/>
      </c>
      <c r="F496">
        <f>IF(LOWER(C496)="covered", 10.40, 7.55)</f>
        <v/>
      </c>
      <c r="G496">
        <f>E496*F496</f>
        <v/>
      </c>
      <c r="H496" t="n">
        <v>271.8</v>
      </c>
      <c r="I496">
        <f>G496-H496</f>
        <v/>
      </c>
    </row>
    <row r="497">
      <c r="A497" t="inlineStr">
        <is>
          <t>EW-0207</t>
        </is>
      </c>
      <c r="B497" t="inlineStr">
        <is>
          <t>Eastwey</t>
        </is>
      </c>
      <c r="C497" t="inlineStr">
        <is>
          <t>open</t>
        </is>
      </c>
      <c r="D497" t="n">
        <v>42.1</v>
      </c>
      <c r="E497">
        <f>ROUNDUP(D497, 0)</f>
        <v/>
      </c>
      <c r="F497">
        <f>IF(LOWER(C497)="covered", 10.40, 7.55)</f>
        <v/>
      </c>
      <c r="G497">
        <f>E497*F497</f>
        <v/>
      </c>
      <c r="H497" t="n">
        <v>339.75</v>
      </c>
      <c r="I497">
        <f>G497-H497</f>
        <v/>
      </c>
    </row>
    <row r="498">
      <c r="A498" t="inlineStr">
        <is>
          <t>EW-0208</t>
        </is>
      </c>
      <c r="B498" t="inlineStr">
        <is>
          <t>Eastwey</t>
        </is>
      </c>
      <c r="C498" t="inlineStr">
        <is>
          <t>open</t>
        </is>
      </c>
      <c r="D498" t="n">
        <v>24.5</v>
      </c>
      <c r="E498">
        <f>ROUNDUP(D498, 0)</f>
        <v/>
      </c>
      <c r="F498">
        <f>IF(LOWER(C498)="covered", 10.40, 7.55)</f>
        <v/>
      </c>
      <c r="G498">
        <f>E498*F498</f>
        <v/>
      </c>
      <c r="H498" t="n">
        <v>241.6</v>
      </c>
      <c r="I498">
        <f>G498-H498</f>
        <v/>
      </c>
    </row>
    <row r="499">
      <c r="A499" t="inlineStr">
        <is>
          <t>EW-0209</t>
        </is>
      </c>
      <c r="B499" t="inlineStr">
        <is>
          <t>Eastwey</t>
        </is>
      </c>
      <c r="C499" t="inlineStr">
        <is>
          <t>open</t>
        </is>
      </c>
      <c r="D499" t="n">
        <v>30.4</v>
      </c>
      <c r="E499">
        <f>ROUNDUP(D499, 0)</f>
        <v/>
      </c>
      <c r="F499">
        <f>IF(LOWER(C499)="covered", 10.40, 7.55)</f>
        <v/>
      </c>
      <c r="G499">
        <f>E499*F499</f>
        <v/>
      </c>
      <c r="H499" t="n">
        <v>271.8</v>
      </c>
      <c r="I499">
        <f>G499-H499</f>
        <v/>
      </c>
    </row>
    <row r="500">
      <c r="A500" t="inlineStr">
        <is>
          <t>EW-0210</t>
        </is>
      </c>
      <c r="B500" t="inlineStr">
        <is>
          <t>Eastwey</t>
        </is>
      </c>
      <c r="C500" t="inlineStr">
        <is>
          <t>open</t>
        </is>
      </c>
      <c r="D500" t="n">
        <v>39.6</v>
      </c>
      <c r="E500">
        <f>ROUNDUP(D500, 0)</f>
        <v/>
      </c>
      <c r="F500">
        <f>IF(LOWER(C500)="covered", 10.40, 7.55)</f>
        <v/>
      </c>
      <c r="G500">
        <f>E500*F500</f>
        <v/>
      </c>
      <c r="H500" t="n">
        <v>302</v>
      </c>
      <c r="I500">
        <f>G500-H500</f>
        <v/>
      </c>
    </row>
    <row r="501">
      <c r="A501" t="inlineStr">
        <is>
          <t>EW-0211</t>
        </is>
      </c>
      <c r="B501" t="inlineStr">
        <is>
          <t>Eastwey</t>
        </is>
      </c>
      <c r="C501" t="inlineStr">
        <is>
          <t>open</t>
        </is>
      </c>
      <c r="D501" t="n">
        <v>41.5</v>
      </c>
      <c r="E501">
        <f>ROUNDUP(D501, 0)</f>
        <v/>
      </c>
      <c r="F501">
        <f>IF(LOWER(C501)="covered", 10.40, 7.55)</f>
        <v/>
      </c>
      <c r="G501">
        <f>E501*F501</f>
        <v/>
      </c>
      <c r="H501" t="n">
        <v>377.5</v>
      </c>
      <c r="I501">
        <f>G501-H501</f>
        <v/>
      </c>
    </row>
    <row r="502">
      <c r="A502" t="inlineStr">
        <is>
          <t>EW-0212</t>
        </is>
      </c>
      <c r="B502" t="inlineStr">
        <is>
          <t>Eastwey</t>
        </is>
      </c>
      <c r="C502" t="inlineStr">
        <is>
          <t>open</t>
        </is>
      </c>
      <c r="D502" t="n">
        <v>19.5</v>
      </c>
      <c r="E502">
        <f>ROUNDUP(D502, 0)</f>
        <v/>
      </c>
      <c r="F502">
        <f>IF(LOWER(C502)="covered", 10.40, 7.55)</f>
        <v/>
      </c>
      <c r="G502">
        <f>E502*F502</f>
        <v/>
      </c>
      <c r="H502" t="n">
        <v>241.6</v>
      </c>
      <c r="I502">
        <f>G502-H502</f>
        <v/>
      </c>
    </row>
    <row r="503">
      <c r="A503" t="inlineStr">
        <is>
          <t>EW-0214</t>
        </is>
      </c>
      <c r="B503" t="inlineStr">
        <is>
          <t>Eastwey</t>
        </is>
      </c>
      <c r="C503" t="inlineStr">
        <is>
          <t>open</t>
        </is>
      </c>
      <c r="D503" t="n">
        <v>23.2</v>
      </c>
      <c r="E503">
        <f>ROUNDUP(D503, 0)</f>
        <v/>
      </c>
      <c r="F503">
        <f>IF(LOWER(C503)="covered", 10.40, 7.55)</f>
        <v/>
      </c>
      <c r="G503">
        <f>E503*F503</f>
        <v/>
      </c>
      <c r="H503" t="n">
        <v>453</v>
      </c>
      <c r="I503">
        <f>G503-H503</f>
        <v/>
      </c>
    </row>
    <row r="504">
      <c r="A504" t="inlineStr">
        <is>
          <t>EW-0215</t>
        </is>
      </c>
      <c r="B504" t="inlineStr">
        <is>
          <t>Eastwey</t>
        </is>
      </c>
      <c r="C504" t="inlineStr">
        <is>
          <t>open</t>
        </is>
      </c>
      <c r="D504" t="n">
        <v>20.4</v>
      </c>
      <c r="E504">
        <f>ROUNDUP(D504, 0)</f>
        <v/>
      </c>
      <c r="F504">
        <f>IF(LOWER(C504)="covered", 10.40, 7.55)</f>
        <v/>
      </c>
      <c r="G504">
        <f>E504*F504</f>
        <v/>
      </c>
      <c r="H504" t="n">
        <v>241.6</v>
      </c>
      <c r="I504">
        <f>G504-H504</f>
        <v/>
      </c>
    </row>
    <row r="505">
      <c r="A505" t="inlineStr">
        <is>
          <t>EW-0216</t>
        </is>
      </c>
      <c r="B505" t="inlineStr">
        <is>
          <t>Eastwey</t>
        </is>
      </c>
      <c r="C505" t="inlineStr">
        <is>
          <t>open</t>
        </is>
      </c>
      <c r="D505" t="n">
        <v>42.6</v>
      </c>
      <c r="E505">
        <f>ROUNDUP(D505, 0)</f>
        <v/>
      </c>
      <c r="F505">
        <f>IF(LOWER(C505)="covered", 10.40, 7.55)</f>
        <v/>
      </c>
      <c r="G505">
        <f>E505*F505</f>
        <v/>
      </c>
      <c r="H505" t="n">
        <v>377.5</v>
      </c>
      <c r="I505">
        <f>G505-H505</f>
        <v/>
      </c>
    </row>
    <row r="506">
      <c r="A506" t="inlineStr">
        <is>
          <t>EW-0217</t>
        </is>
      </c>
      <c r="B506" t="inlineStr">
        <is>
          <t>Eastwey</t>
        </is>
      </c>
      <c r="C506" t="inlineStr">
        <is>
          <t>open</t>
        </is>
      </c>
      <c r="D506" t="n">
        <v>32.9</v>
      </c>
      <c r="E506">
        <f>ROUNDUP(D506, 0)</f>
        <v/>
      </c>
      <c r="F506">
        <f>IF(LOWER(C506)="covered", 10.40, 7.55)</f>
        <v/>
      </c>
      <c r="G506">
        <f>E506*F506</f>
        <v/>
      </c>
      <c r="H506" t="n">
        <v>249.15</v>
      </c>
      <c r="I506">
        <f>G506-H506</f>
        <v/>
      </c>
    </row>
    <row r="507">
      <c r="A507" t="inlineStr">
        <is>
          <t>EW-0218</t>
        </is>
      </c>
      <c r="B507" t="inlineStr">
        <is>
          <t>Eastwey</t>
        </is>
      </c>
      <c r="C507" t="inlineStr">
        <is>
          <t>open</t>
        </is>
      </c>
      <c r="D507" t="n">
        <v>23</v>
      </c>
      <c r="E507">
        <f>ROUNDUP(D507, 0)</f>
        <v/>
      </c>
      <c r="F507">
        <f>IF(LOWER(C507)="covered", 10.40, 7.55)</f>
        <v/>
      </c>
      <c r="G507">
        <f>E507*F507</f>
        <v/>
      </c>
      <c r="H507" t="n">
        <v>271.8</v>
      </c>
      <c r="I507">
        <f>G507-H507</f>
        <v/>
      </c>
    </row>
    <row r="508">
      <c r="A508" t="inlineStr">
        <is>
          <t>EW-0219</t>
        </is>
      </c>
      <c r="B508" t="inlineStr">
        <is>
          <t>Eastwey</t>
        </is>
      </c>
      <c r="C508" t="inlineStr">
        <is>
          <t>open</t>
        </is>
      </c>
      <c r="D508" t="n">
        <v>21.3</v>
      </c>
      <c r="E508">
        <f>ROUNDUP(D508, 0)</f>
        <v/>
      </c>
      <c r="F508">
        <f>IF(LOWER(C508)="covered", 10.40, 7.55)</f>
        <v/>
      </c>
      <c r="G508">
        <f>E508*F508</f>
        <v/>
      </c>
      <c r="H508" t="n">
        <v>528.5</v>
      </c>
      <c r="I508">
        <f>G508-H508</f>
        <v/>
      </c>
    </row>
    <row r="509">
      <c r="A509" t="inlineStr">
        <is>
          <t>EW-0220</t>
        </is>
      </c>
      <c r="B509" t="inlineStr">
        <is>
          <t>Eastwey</t>
        </is>
      </c>
      <c r="C509" t="inlineStr">
        <is>
          <t>open</t>
        </is>
      </c>
      <c r="D509" t="n">
        <v>22.1</v>
      </c>
      <c r="E509">
        <f>ROUNDUP(D509, 0)</f>
        <v/>
      </c>
      <c r="F509">
        <f>IF(LOWER(C509)="covered", 10.40, 7.55)</f>
        <v/>
      </c>
      <c r="G509">
        <f>E509*F509</f>
        <v/>
      </c>
      <c r="H509" t="n">
        <v>302</v>
      </c>
      <c r="I509">
        <f>G509-H509</f>
        <v/>
      </c>
    </row>
    <row r="510">
      <c r="A510" t="inlineStr">
        <is>
          <t>EW-0221</t>
        </is>
      </c>
      <c r="B510" t="inlineStr">
        <is>
          <t>Eastwey</t>
        </is>
      </c>
      <c r="C510" t="inlineStr">
        <is>
          <t>open</t>
        </is>
      </c>
      <c r="D510" t="n">
        <v>57.1</v>
      </c>
      <c r="E510">
        <f>ROUNDUP(D510, 0)</f>
        <v/>
      </c>
      <c r="F510">
        <f>IF(LOWER(C510)="covered", 10.40, 7.55)</f>
        <v/>
      </c>
      <c r="G510">
        <f>E510*F510</f>
        <v/>
      </c>
      <c r="H510" t="n">
        <v>437.9</v>
      </c>
      <c r="I510">
        <f>G510-H510</f>
        <v/>
      </c>
    </row>
    <row r="511">
      <c r="A511" t="inlineStr">
        <is>
          <t>EW-0222</t>
        </is>
      </c>
      <c r="B511" t="inlineStr">
        <is>
          <t>Eastwey</t>
        </is>
      </c>
      <c r="C511" t="inlineStr">
        <is>
          <t>open</t>
        </is>
      </c>
      <c r="D511" t="n">
        <v>29.3</v>
      </c>
      <c r="E511">
        <f>ROUNDUP(D511, 0)</f>
        <v/>
      </c>
      <c r="F511">
        <f>IF(LOWER(C511)="covered", 10.40, 7.55)</f>
        <v/>
      </c>
      <c r="G511">
        <f>E511*F511</f>
        <v/>
      </c>
      <c r="H511" t="n">
        <v>226.5</v>
      </c>
      <c r="I511">
        <f>G511-H511</f>
        <v/>
      </c>
    </row>
    <row r="512">
      <c r="A512" t="inlineStr">
        <is>
          <t>EW-0223</t>
        </is>
      </c>
      <c r="B512" t="inlineStr">
        <is>
          <t>Eastwey</t>
        </is>
      </c>
      <c r="C512" t="inlineStr">
        <is>
          <t>open</t>
        </is>
      </c>
      <c r="D512" t="n">
        <v>19</v>
      </c>
      <c r="E512">
        <f>ROUNDUP(D512, 0)</f>
        <v/>
      </c>
      <c r="F512">
        <f>IF(LOWER(C512)="covered", 10.40, 7.55)</f>
        <v/>
      </c>
      <c r="G512">
        <f>E512*F512</f>
        <v/>
      </c>
      <c r="H512" t="n">
        <v>271.8</v>
      </c>
      <c r="I512">
        <f>G512-H512</f>
        <v/>
      </c>
    </row>
    <row r="513">
      <c r="A513" t="inlineStr">
        <is>
          <t>EW-0224</t>
        </is>
      </c>
      <c r="B513" t="inlineStr">
        <is>
          <t>Eastwey</t>
        </is>
      </c>
      <c r="C513" t="inlineStr">
        <is>
          <t>open</t>
        </is>
      </c>
      <c r="D513" t="n">
        <v>49.6</v>
      </c>
      <c r="E513">
        <f>ROUNDUP(D513, 0)</f>
        <v/>
      </c>
      <c r="F513">
        <f>IF(LOWER(C513)="covered", 10.40, 7.55)</f>
        <v/>
      </c>
      <c r="G513">
        <f>E513*F513</f>
        <v/>
      </c>
      <c r="H513" t="n">
        <v>377.5</v>
      </c>
      <c r="I513">
        <f>G513-H513</f>
        <v/>
      </c>
    </row>
    <row r="514">
      <c r="A514" t="inlineStr">
        <is>
          <t>EW-0302</t>
        </is>
      </c>
      <c r="B514" t="inlineStr">
        <is>
          <t>Eastwey</t>
        </is>
      </c>
      <c r="C514" t="inlineStr">
        <is>
          <t>open</t>
        </is>
      </c>
      <c r="D514" t="n">
        <v>49.2</v>
      </c>
      <c r="E514">
        <f>ROUNDUP(D514, 0)</f>
        <v/>
      </c>
      <c r="F514">
        <f>IF(LOWER(C514)="covered", 10.40, 7.55)</f>
        <v/>
      </c>
      <c r="G514">
        <f>E514*F514</f>
        <v/>
      </c>
      <c r="H514" t="n">
        <v>377.5</v>
      </c>
      <c r="I514">
        <f>G514-H514</f>
        <v/>
      </c>
    </row>
    <row r="515">
      <c r="A515" t="inlineStr">
        <is>
          <t>EW-0303</t>
        </is>
      </c>
      <c r="B515" t="inlineStr">
        <is>
          <t>Eastwey</t>
        </is>
      </c>
      <c r="C515" t="inlineStr">
        <is>
          <t>open</t>
        </is>
      </c>
      <c r="D515" t="n">
        <v>29.4</v>
      </c>
      <c r="E515">
        <f>ROUNDUP(D515, 0)</f>
        <v/>
      </c>
      <c r="F515">
        <f>IF(LOWER(C515)="covered", 10.40, 7.55)</f>
        <v/>
      </c>
      <c r="G515">
        <f>E515*F515</f>
        <v/>
      </c>
      <c r="H515" t="n">
        <v>302</v>
      </c>
      <c r="I515">
        <f>G515-H515</f>
        <v/>
      </c>
    </row>
    <row r="516">
      <c r="A516" t="inlineStr">
        <is>
          <t>EW-0304</t>
        </is>
      </c>
      <c r="B516" t="inlineStr">
        <is>
          <t>Eastwey</t>
        </is>
      </c>
      <c r="C516" t="inlineStr">
        <is>
          <t>open</t>
        </is>
      </c>
      <c r="D516" t="n">
        <v>39.1</v>
      </c>
      <c r="E516">
        <f>ROUNDUP(D516, 0)</f>
        <v/>
      </c>
      <c r="F516">
        <f>IF(LOWER(C516)="covered", 10.40, 7.55)</f>
        <v/>
      </c>
      <c r="G516">
        <f>E516*F516</f>
        <v/>
      </c>
      <c r="H516" t="n">
        <v>302</v>
      </c>
      <c r="I516">
        <f>G516-H516</f>
        <v/>
      </c>
    </row>
    <row r="517">
      <c r="A517" t="inlineStr">
        <is>
          <t>EW-0305</t>
        </is>
      </c>
      <c r="B517" t="inlineStr">
        <is>
          <t>Eastwey</t>
        </is>
      </c>
      <c r="C517" t="inlineStr">
        <is>
          <t>open</t>
        </is>
      </c>
      <c r="D517" t="n">
        <v>61.9</v>
      </c>
      <c r="E517">
        <f>ROUNDUP(D517, 0)</f>
        <v/>
      </c>
      <c r="F517">
        <f>IF(LOWER(C517)="covered", 10.40, 7.55)</f>
        <v/>
      </c>
      <c r="G517">
        <f>E517*F517</f>
        <v/>
      </c>
      <c r="H517" t="n">
        <v>468.1</v>
      </c>
      <c r="I517">
        <f>G517-H517</f>
        <v/>
      </c>
    </row>
    <row r="518">
      <c r="A518" t="inlineStr">
        <is>
          <t>EW-0306</t>
        </is>
      </c>
      <c r="B518" t="inlineStr">
        <is>
          <t>Eastwey</t>
        </is>
      </c>
      <c r="C518" t="inlineStr">
        <is>
          <t>open</t>
        </is>
      </c>
      <c r="D518" t="n">
        <v>21</v>
      </c>
      <c r="E518">
        <f>ROUNDUP(D518, 0)</f>
        <v/>
      </c>
      <c r="F518">
        <f>IF(LOWER(C518)="covered", 10.40, 7.55)</f>
        <v/>
      </c>
      <c r="G518">
        <f>E518*F518</f>
        <v/>
      </c>
      <c r="H518" t="n">
        <v>377.5</v>
      </c>
      <c r="I518">
        <f>G518-H518</f>
        <v/>
      </c>
    </row>
    <row r="519">
      <c r="A519" t="inlineStr">
        <is>
          <t>EW-0307</t>
        </is>
      </c>
      <c r="B519" t="inlineStr">
        <is>
          <t>Eastwey</t>
        </is>
      </c>
      <c r="C519" t="inlineStr">
        <is>
          <t>open</t>
        </is>
      </c>
      <c r="D519" t="n">
        <v>19.3</v>
      </c>
      <c r="E519">
        <f>ROUNDUP(D519, 0)</f>
        <v/>
      </c>
      <c r="F519">
        <f>IF(LOWER(C519)="covered", 10.40, 7.55)</f>
        <v/>
      </c>
      <c r="G519">
        <f>E519*F519</f>
        <v/>
      </c>
      <c r="H519" t="n">
        <v>528.5</v>
      </c>
      <c r="I519">
        <f>G519-H519</f>
        <v/>
      </c>
    </row>
    <row r="520">
      <c r="A520" t="inlineStr">
        <is>
          <t>EW-0308</t>
        </is>
      </c>
      <c r="B520" t="inlineStr">
        <is>
          <t>Eastwey</t>
        </is>
      </c>
      <c r="C520" t="inlineStr">
        <is>
          <t>open</t>
        </is>
      </c>
      <c r="D520" t="n">
        <v>26.7</v>
      </c>
      <c r="E520">
        <f>ROUNDUP(D520, 0)</f>
        <v/>
      </c>
      <c r="F520">
        <f>IF(LOWER(C520)="covered", 10.40, 7.55)</f>
        <v/>
      </c>
      <c r="G520">
        <f>E520*F520</f>
        <v/>
      </c>
      <c r="H520" t="n">
        <v>211.4</v>
      </c>
      <c r="I520">
        <f>G520-H520</f>
        <v/>
      </c>
    </row>
    <row r="521">
      <c r="A521" t="inlineStr">
        <is>
          <t>EW-0309</t>
        </is>
      </c>
      <c r="B521" t="inlineStr">
        <is>
          <t>Eastwey</t>
        </is>
      </c>
      <c r="C521" t="inlineStr">
        <is>
          <t>open</t>
        </is>
      </c>
      <c r="D521" t="n">
        <v>43.4</v>
      </c>
      <c r="E521">
        <f>ROUNDUP(D521, 0)</f>
        <v/>
      </c>
      <c r="F521">
        <f>IF(LOWER(C521)="covered", 10.40, 7.55)</f>
        <v/>
      </c>
      <c r="G521">
        <f>E521*F521</f>
        <v/>
      </c>
      <c r="H521" t="n">
        <v>377.5</v>
      </c>
      <c r="I521">
        <f>G521-H521</f>
        <v/>
      </c>
    </row>
    <row r="522">
      <c r="A522" t="inlineStr">
        <is>
          <t>EW-0311</t>
        </is>
      </c>
      <c r="B522" t="inlineStr">
        <is>
          <t>Eastwey</t>
        </is>
      </c>
      <c r="C522" t="inlineStr">
        <is>
          <t>open</t>
        </is>
      </c>
      <c r="D522" t="n">
        <v>22.3</v>
      </c>
      <c r="E522">
        <f>ROUNDUP(D522, 0)</f>
        <v/>
      </c>
      <c r="F522">
        <f>IF(LOWER(C522)="covered", 10.40, 7.55)</f>
        <v/>
      </c>
      <c r="G522">
        <f>E522*F522</f>
        <v/>
      </c>
      <c r="H522" t="n">
        <v>241.6</v>
      </c>
      <c r="I522">
        <f>G522-H522</f>
        <v/>
      </c>
    </row>
    <row r="523">
      <c r="A523" t="inlineStr">
        <is>
          <t>EW-0312</t>
        </is>
      </c>
      <c r="B523" t="inlineStr">
        <is>
          <t>Eastwey</t>
        </is>
      </c>
      <c r="C523" t="inlineStr">
        <is>
          <t>open</t>
        </is>
      </c>
      <c r="D523" t="n">
        <v>30.1</v>
      </c>
      <c r="E523">
        <f>ROUNDUP(D523, 0)</f>
        <v/>
      </c>
      <c r="F523">
        <f>IF(LOWER(C523)="covered", 10.40, 7.55)</f>
        <v/>
      </c>
      <c r="G523">
        <f>E523*F523</f>
        <v/>
      </c>
      <c r="H523" t="n">
        <v>234.05</v>
      </c>
      <c r="I523">
        <f>G523-H523</f>
        <v/>
      </c>
    </row>
    <row r="524">
      <c r="A524" t="inlineStr">
        <is>
          <t>EW-0313</t>
        </is>
      </c>
      <c r="B524" t="inlineStr">
        <is>
          <t>Eastwey</t>
        </is>
      </c>
      <c r="C524" t="inlineStr">
        <is>
          <t>open</t>
        </is>
      </c>
      <c r="D524" t="n">
        <v>21.8</v>
      </c>
      <c r="E524">
        <f>ROUNDUP(D524, 0)</f>
        <v/>
      </c>
      <c r="F524">
        <f>IF(LOWER(C524)="covered", 10.40, 7.55)</f>
        <v/>
      </c>
      <c r="G524">
        <f>E524*F524</f>
        <v/>
      </c>
      <c r="H524" t="n">
        <v>377.5</v>
      </c>
      <c r="I524">
        <f>G524-H524</f>
        <v/>
      </c>
    </row>
    <row r="525">
      <c r="A525" t="inlineStr">
        <is>
          <t>EW-0314</t>
        </is>
      </c>
      <c r="B525" t="inlineStr">
        <is>
          <t>Eastwey</t>
        </is>
      </c>
      <c r="C525" t="inlineStr">
        <is>
          <t>open</t>
        </is>
      </c>
      <c r="D525" t="n">
        <v>32.5</v>
      </c>
      <c r="E525">
        <f>ROUNDUP(D525, 0)</f>
        <v/>
      </c>
      <c r="F525">
        <f>IF(LOWER(C525)="covered", 10.40, 7.55)</f>
        <v/>
      </c>
      <c r="G525">
        <f>E525*F525</f>
        <v/>
      </c>
      <c r="H525" t="n">
        <v>249.15</v>
      </c>
      <c r="I525">
        <f>G525-H525</f>
        <v/>
      </c>
    </row>
    <row r="526">
      <c r="A526" t="inlineStr">
        <is>
          <t>EW-0315</t>
        </is>
      </c>
      <c r="B526" t="inlineStr">
        <is>
          <t>Eastwey</t>
        </is>
      </c>
      <c r="C526" t="inlineStr">
        <is>
          <t>open</t>
        </is>
      </c>
      <c r="D526" t="n">
        <v>43.2</v>
      </c>
      <c r="E526">
        <f>ROUNDUP(D526, 0)</f>
        <v/>
      </c>
      <c r="F526">
        <f>IF(LOWER(C526)="covered", 10.40, 7.55)</f>
        <v/>
      </c>
      <c r="G526">
        <f>E526*F526</f>
        <v/>
      </c>
      <c r="H526" t="n">
        <v>332.2</v>
      </c>
      <c r="I526">
        <f>G526-H526</f>
        <v/>
      </c>
    </row>
    <row r="527">
      <c r="A527" t="inlineStr">
        <is>
          <t>EW-0316</t>
        </is>
      </c>
      <c r="B527" t="inlineStr">
        <is>
          <t>Eastwey</t>
        </is>
      </c>
      <c r="C527" t="inlineStr">
        <is>
          <t>open</t>
        </is>
      </c>
      <c r="D527" t="n">
        <v>60.1</v>
      </c>
      <c r="E527">
        <f>ROUNDUP(D527, 0)</f>
        <v/>
      </c>
      <c r="F527">
        <f>IF(LOWER(C527)="covered", 10.40, 7.55)</f>
        <v/>
      </c>
      <c r="G527">
        <f>E527*F527</f>
        <v/>
      </c>
      <c r="H527" t="n">
        <v>460.55</v>
      </c>
      <c r="I527">
        <f>G527-H527</f>
        <v/>
      </c>
    </row>
    <row r="528">
      <c r="A528" t="inlineStr">
        <is>
          <t>EW-0317</t>
        </is>
      </c>
      <c r="B528" t="inlineStr">
        <is>
          <t>Eastwey</t>
        </is>
      </c>
      <c r="C528" t="inlineStr">
        <is>
          <t>open</t>
        </is>
      </c>
      <c r="D528" t="n">
        <v>44.2</v>
      </c>
      <c r="E528">
        <f>ROUNDUP(D528, 0)</f>
        <v/>
      </c>
      <c r="F528">
        <f>IF(LOWER(C528)="covered", 10.40, 7.55)</f>
        <v/>
      </c>
      <c r="G528">
        <f>E528*F528</f>
        <v/>
      </c>
      <c r="H528" t="n">
        <v>339.75</v>
      </c>
      <c r="I528">
        <f>G528-H528</f>
        <v/>
      </c>
    </row>
    <row r="529">
      <c r="A529" t="inlineStr">
        <is>
          <t>EW-0318</t>
        </is>
      </c>
      <c r="B529" t="inlineStr">
        <is>
          <t>Eastwey</t>
        </is>
      </c>
      <c r="C529" t="inlineStr">
        <is>
          <t>open</t>
        </is>
      </c>
      <c r="D529" t="n">
        <v>37</v>
      </c>
      <c r="E529">
        <f>ROUNDUP(D529, 0)</f>
        <v/>
      </c>
      <c r="F529">
        <f>IF(LOWER(C529)="covered", 10.40, 7.55)</f>
        <v/>
      </c>
      <c r="G529">
        <f>E529*F529</f>
        <v/>
      </c>
      <c r="H529" t="n">
        <v>279.35</v>
      </c>
      <c r="I529">
        <f>G529-H529</f>
        <v/>
      </c>
    </row>
    <row r="530">
      <c r="A530" t="inlineStr">
        <is>
          <t>EW-0319</t>
        </is>
      </c>
      <c r="B530" t="inlineStr">
        <is>
          <t>Eastwey</t>
        </is>
      </c>
      <c r="C530" t="inlineStr">
        <is>
          <t>open</t>
        </is>
      </c>
      <c r="D530" t="n">
        <v>56.8</v>
      </c>
      <c r="E530">
        <f>ROUNDUP(D530, 0)</f>
        <v/>
      </c>
      <c r="F530">
        <f>IF(LOWER(C530)="covered", 10.40, 7.55)</f>
        <v/>
      </c>
      <c r="G530">
        <f>E530*F530</f>
        <v/>
      </c>
      <c r="H530" t="n">
        <v>528.5</v>
      </c>
      <c r="I530">
        <f>G530-H530</f>
        <v/>
      </c>
    </row>
    <row r="531">
      <c r="A531" t="inlineStr">
        <is>
          <t>EW-0321</t>
        </is>
      </c>
      <c r="B531" t="inlineStr">
        <is>
          <t>Eastwey</t>
        </is>
      </c>
      <c r="C531" t="inlineStr">
        <is>
          <t>open</t>
        </is>
      </c>
      <c r="D531" t="n">
        <v>18.7</v>
      </c>
      <c r="E531">
        <f>ROUNDUP(D531, 0)</f>
        <v/>
      </c>
      <c r="F531">
        <f>IF(LOWER(C531)="covered", 10.40, 7.55)</f>
        <v/>
      </c>
      <c r="G531">
        <f>E531*F531</f>
        <v/>
      </c>
      <c r="H531" t="n">
        <v>528.5</v>
      </c>
      <c r="I531">
        <f>G531-H531</f>
        <v/>
      </c>
    </row>
    <row r="532">
      <c r="A532" t="inlineStr">
        <is>
          <t>EW-0322</t>
        </is>
      </c>
      <c r="B532" t="inlineStr">
        <is>
          <t>Eastwey</t>
        </is>
      </c>
      <c r="C532" t="inlineStr">
        <is>
          <t>open</t>
        </is>
      </c>
      <c r="D532" t="n">
        <v>56.7</v>
      </c>
      <c r="E532">
        <f>ROUNDUP(D532, 0)</f>
        <v/>
      </c>
      <c r="F532">
        <f>IF(LOWER(C532)="covered", 10.40, 7.55)</f>
        <v/>
      </c>
      <c r="G532">
        <f>E532*F532</f>
        <v/>
      </c>
      <c r="H532" t="n">
        <v>430.35</v>
      </c>
      <c r="I532">
        <f>G532-H532</f>
        <v/>
      </c>
    </row>
    <row r="533">
      <c r="A533" t="inlineStr">
        <is>
          <t>EW-0323</t>
        </is>
      </c>
      <c r="B533" t="inlineStr">
        <is>
          <t>Eastwey</t>
        </is>
      </c>
      <c r="C533" t="inlineStr">
        <is>
          <t>open</t>
        </is>
      </c>
      <c r="D533" t="n">
        <v>50.2</v>
      </c>
      <c r="E533">
        <f>ROUNDUP(D533, 0)</f>
        <v/>
      </c>
      <c r="F533">
        <f>IF(LOWER(C533)="covered", 10.40, 7.55)</f>
        <v/>
      </c>
      <c r="G533">
        <f>E533*F533</f>
        <v/>
      </c>
      <c r="H533" t="n">
        <v>385.05</v>
      </c>
      <c r="I533">
        <f>G533-H533</f>
        <v/>
      </c>
    </row>
    <row r="534">
      <c r="A534" t="inlineStr">
        <is>
          <t>EW-0324</t>
        </is>
      </c>
      <c r="B534" t="inlineStr">
        <is>
          <t>Eastwey</t>
        </is>
      </c>
      <c r="C534" t="inlineStr">
        <is>
          <t>open</t>
        </is>
      </c>
      <c r="D534" t="n">
        <v>19.3</v>
      </c>
      <c r="E534">
        <f>ROUNDUP(D534, 0)</f>
        <v/>
      </c>
      <c r="F534">
        <f>IF(LOWER(C534)="covered", 10.40, 7.55)</f>
        <v/>
      </c>
      <c r="G534">
        <f>E534*F534</f>
        <v/>
      </c>
      <c r="H534" t="n">
        <v>604</v>
      </c>
      <c r="I534">
        <f>G534-H534</f>
        <v/>
      </c>
    </row>
    <row r="535">
      <c r="A535" t="inlineStr">
        <is>
          <t>EW-0401</t>
        </is>
      </c>
      <c r="B535" t="inlineStr">
        <is>
          <t>Eastwey</t>
        </is>
      </c>
      <c r="C535" t="inlineStr">
        <is>
          <t>open</t>
        </is>
      </c>
      <c r="D535" t="n">
        <v>50.5</v>
      </c>
      <c r="E535">
        <f>ROUNDUP(D535, 0)</f>
        <v/>
      </c>
      <c r="F535">
        <f>IF(LOWER(C535)="covered", 10.40, 7.55)</f>
        <v/>
      </c>
      <c r="G535">
        <f>E535*F535</f>
        <v/>
      </c>
      <c r="H535" t="n">
        <v>385.05</v>
      </c>
      <c r="I535">
        <f>G535-H535</f>
        <v/>
      </c>
    </row>
    <row r="536">
      <c r="A536" t="inlineStr">
        <is>
          <t>EW-0402</t>
        </is>
      </c>
      <c r="B536" t="inlineStr">
        <is>
          <t>Eastwey</t>
        </is>
      </c>
      <c r="C536" t="inlineStr">
        <is>
          <t>open</t>
        </is>
      </c>
      <c r="D536" t="n">
        <v>31.6</v>
      </c>
      <c r="E536">
        <f>ROUNDUP(D536, 0)</f>
        <v/>
      </c>
      <c r="F536">
        <f>IF(LOWER(C536)="covered", 10.40, 7.55)</f>
        <v/>
      </c>
      <c r="G536">
        <f>E536*F536</f>
        <v/>
      </c>
      <c r="H536" t="n">
        <v>302</v>
      </c>
      <c r="I536">
        <f>G536-H536</f>
        <v/>
      </c>
    </row>
    <row r="537">
      <c r="A537" t="inlineStr">
        <is>
          <t>EW-0403</t>
        </is>
      </c>
      <c r="B537" t="inlineStr">
        <is>
          <t>Eastwey</t>
        </is>
      </c>
      <c r="C537" t="inlineStr">
        <is>
          <t>open</t>
        </is>
      </c>
      <c r="D537" t="n">
        <v>60</v>
      </c>
      <c r="E537">
        <f>ROUNDUP(D537, 0)</f>
        <v/>
      </c>
      <c r="F537">
        <f>IF(LOWER(C537)="covered", 10.40, 7.55)</f>
        <v/>
      </c>
      <c r="G537">
        <f>E537*F537</f>
        <v/>
      </c>
      <c r="H537" t="n">
        <v>453</v>
      </c>
      <c r="I537">
        <f>G537-H537</f>
        <v/>
      </c>
    </row>
    <row r="538">
      <c r="A538" t="inlineStr">
        <is>
          <t>EW-0404</t>
        </is>
      </c>
      <c r="B538" t="inlineStr">
        <is>
          <t>Eastwey</t>
        </is>
      </c>
      <c r="C538" t="inlineStr">
        <is>
          <t>open</t>
        </is>
      </c>
      <c r="D538" t="n">
        <v>31.8</v>
      </c>
      <c r="E538">
        <f>ROUNDUP(D538, 0)</f>
        <v/>
      </c>
      <c r="F538">
        <f>IF(LOWER(C538)="covered", 10.40, 7.55)</f>
        <v/>
      </c>
      <c r="G538">
        <f>E538*F538</f>
        <v/>
      </c>
      <c r="H538" t="n">
        <v>528.5</v>
      </c>
      <c r="I538">
        <f>G538-H538</f>
        <v/>
      </c>
    </row>
    <row r="539">
      <c r="A539" t="inlineStr">
        <is>
          <t>EW-0405</t>
        </is>
      </c>
      <c r="B539" t="inlineStr">
        <is>
          <t>Eastwey</t>
        </is>
      </c>
      <c r="C539" t="inlineStr">
        <is>
          <t>open</t>
        </is>
      </c>
      <c r="D539" t="n">
        <v>46.9</v>
      </c>
      <c r="E539">
        <f>ROUNDUP(D539, 0)</f>
        <v/>
      </c>
      <c r="F539">
        <f>IF(LOWER(C539)="covered", 10.40, 7.55)</f>
        <v/>
      </c>
      <c r="G539">
        <f>E539*F539</f>
        <v/>
      </c>
      <c r="H539" t="n">
        <v>354.85</v>
      </c>
      <c r="I539">
        <f>G539-H539</f>
        <v/>
      </c>
    </row>
    <row r="540">
      <c r="A540" t="inlineStr">
        <is>
          <t>EW-0406</t>
        </is>
      </c>
      <c r="B540" t="inlineStr">
        <is>
          <t>Eastwey</t>
        </is>
      </c>
      <c r="C540" t="inlineStr">
        <is>
          <t>open</t>
        </is>
      </c>
      <c r="D540" t="n">
        <v>29.4</v>
      </c>
      <c r="E540">
        <f>ROUNDUP(D540, 0)</f>
        <v/>
      </c>
      <c r="F540">
        <f>IF(LOWER(C540)="covered", 10.40, 7.55)</f>
        <v/>
      </c>
      <c r="G540">
        <f>E540*F540</f>
        <v/>
      </c>
      <c r="H540" t="n">
        <v>302</v>
      </c>
      <c r="I540">
        <f>G540-H540</f>
        <v/>
      </c>
    </row>
    <row r="541">
      <c r="A541" t="inlineStr">
        <is>
          <t>EW-0407</t>
        </is>
      </c>
      <c r="B541" t="inlineStr">
        <is>
          <t>Eastwey</t>
        </is>
      </c>
      <c r="C541" t="inlineStr">
        <is>
          <t>open</t>
        </is>
      </c>
      <c r="D541" t="n">
        <v>31.1</v>
      </c>
      <c r="E541">
        <f>ROUNDUP(D541, 0)</f>
        <v/>
      </c>
      <c r="F541">
        <f>IF(LOWER(C541)="covered", 10.40, 7.55)</f>
        <v/>
      </c>
      <c r="G541">
        <f>E541*F541</f>
        <v/>
      </c>
      <c r="H541" t="n">
        <v>339.75</v>
      </c>
      <c r="I541">
        <f>G541-H541</f>
        <v/>
      </c>
    </row>
    <row r="542">
      <c r="A542" t="inlineStr">
        <is>
          <t>EW-0408</t>
        </is>
      </c>
      <c r="B542" t="inlineStr">
        <is>
          <t>Eastwey</t>
        </is>
      </c>
      <c r="C542" t="inlineStr">
        <is>
          <t>open</t>
        </is>
      </c>
      <c r="D542" t="n">
        <v>59.4</v>
      </c>
      <c r="E542">
        <f>ROUNDUP(D542, 0)</f>
        <v/>
      </c>
      <c r="F542">
        <f>IF(LOWER(C542)="covered", 10.40, 7.55)</f>
        <v/>
      </c>
      <c r="G542">
        <f>E542*F542</f>
        <v/>
      </c>
      <c r="H542" t="n">
        <v>453</v>
      </c>
      <c r="I542">
        <f>G542-H542</f>
        <v/>
      </c>
    </row>
    <row r="543">
      <c r="A543" t="inlineStr">
        <is>
          <t>EW-0409</t>
        </is>
      </c>
      <c r="B543" t="inlineStr">
        <is>
          <t>Eastwey</t>
        </is>
      </c>
      <c r="C543" t="inlineStr">
        <is>
          <t>open</t>
        </is>
      </c>
      <c r="D543" t="n">
        <v>51.6</v>
      </c>
      <c r="E543">
        <f>ROUNDUP(D543, 0)</f>
        <v/>
      </c>
      <c r="F543">
        <f>IF(LOWER(C543)="covered", 10.40, 7.55)</f>
        <v/>
      </c>
      <c r="G543">
        <f>E543*F543</f>
        <v/>
      </c>
      <c r="H543" t="n">
        <v>528.5</v>
      </c>
      <c r="I543">
        <f>G543-H543</f>
        <v/>
      </c>
    </row>
    <row r="544">
      <c r="A544" t="inlineStr">
        <is>
          <t>EW-0410</t>
        </is>
      </c>
      <c r="B544" t="inlineStr">
        <is>
          <t>Eastwey</t>
        </is>
      </c>
      <c r="C544" t="inlineStr">
        <is>
          <t>open</t>
        </is>
      </c>
      <c r="D544" t="n">
        <v>44.8</v>
      </c>
      <c r="E544">
        <f>ROUNDUP(D544, 0)</f>
        <v/>
      </c>
      <c r="F544">
        <f>IF(LOWER(C544)="covered", 10.40, 7.55)</f>
        <v/>
      </c>
      <c r="G544">
        <f>E544*F544</f>
        <v/>
      </c>
      <c r="H544" t="n">
        <v>339.75</v>
      </c>
      <c r="I544">
        <f>G544-H544</f>
        <v/>
      </c>
    </row>
    <row r="545">
      <c r="A545" t="inlineStr">
        <is>
          <t>EW-0411</t>
        </is>
      </c>
      <c r="B545" t="inlineStr">
        <is>
          <t>Eastwey</t>
        </is>
      </c>
      <c r="C545" t="inlineStr">
        <is>
          <t>open</t>
        </is>
      </c>
      <c r="D545" t="n">
        <v>26.8</v>
      </c>
      <c r="E545">
        <f>ROUNDUP(D545, 0)</f>
        <v/>
      </c>
      <c r="F545">
        <f>IF(LOWER(C545)="covered", 10.40, 7.55)</f>
        <v/>
      </c>
      <c r="G545">
        <f>E545*F545</f>
        <v/>
      </c>
      <c r="H545" t="n">
        <v>528.5</v>
      </c>
      <c r="I545">
        <f>G545-H545</f>
        <v/>
      </c>
    </row>
    <row r="546">
      <c r="A546" t="inlineStr">
        <is>
          <t>EW-0412</t>
        </is>
      </c>
      <c r="B546" t="inlineStr">
        <is>
          <t>Eastwey</t>
        </is>
      </c>
      <c r="C546" t="inlineStr">
        <is>
          <t>open</t>
        </is>
      </c>
      <c r="D546" t="n">
        <v>42.5</v>
      </c>
      <c r="E546">
        <f>ROUNDUP(D546, 0)</f>
        <v/>
      </c>
      <c r="F546">
        <f>IF(LOWER(C546)="covered", 10.40, 7.55)</f>
        <v/>
      </c>
      <c r="G546">
        <f>E546*F546</f>
        <v/>
      </c>
      <c r="H546" t="n">
        <v>528.5</v>
      </c>
      <c r="I546">
        <f>G546-H546</f>
        <v/>
      </c>
    </row>
    <row r="547">
      <c r="A547" t="inlineStr">
        <is>
          <t>EW-0413</t>
        </is>
      </c>
      <c r="B547" t="inlineStr">
        <is>
          <t>Eastwey</t>
        </is>
      </c>
      <c r="C547" t="inlineStr">
        <is>
          <t>open</t>
        </is>
      </c>
      <c r="D547" t="n">
        <v>58.8</v>
      </c>
      <c r="E547">
        <f>ROUNDUP(D547, 0)</f>
        <v/>
      </c>
      <c r="F547">
        <f>IF(LOWER(C547)="covered", 10.40, 7.55)</f>
        <v/>
      </c>
      <c r="G547">
        <f>E547*F547</f>
        <v/>
      </c>
      <c r="H547" t="n">
        <v>528.5</v>
      </c>
      <c r="I547">
        <f>G547-H547</f>
        <v/>
      </c>
    </row>
    <row r="548">
      <c r="A548" t="inlineStr">
        <is>
          <t>EW-0414</t>
        </is>
      </c>
      <c r="B548" t="inlineStr">
        <is>
          <t>Eastwey</t>
        </is>
      </c>
      <c r="C548" t="inlineStr">
        <is>
          <t>open</t>
        </is>
      </c>
      <c r="D548" t="n">
        <v>20.6</v>
      </c>
      <c r="E548">
        <f>ROUNDUP(D548, 0)</f>
        <v/>
      </c>
      <c r="F548">
        <f>IF(LOWER(C548)="covered", 10.40, 7.55)</f>
        <v/>
      </c>
      <c r="G548">
        <f>E548*F548</f>
        <v/>
      </c>
      <c r="H548" t="n">
        <v>302</v>
      </c>
      <c r="I548">
        <f>G548-H548</f>
        <v/>
      </c>
    </row>
    <row r="549">
      <c r="A549" t="inlineStr">
        <is>
          <t>EW-0415</t>
        </is>
      </c>
      <c r="B549" t="inlineStr">
        <is>
          <t>Eastwey</t>
        </is>
      </c>
      <c r="C549" t="inlineStr">
        <is>
          <t>open</t>
        </is>
      </c>
      <c r="D549" t="n">
        <v>42.4</v>
      </c>
      <c r="E549">
        <f>ROUNDUP(D549, 0)</f>
        <v/>
      </c>
      <c r="F549">
        <f>IF(LOWER(C549)="covered", 10.40, 7.55)</f>
        <v/>
      </c>
      <c r="G549">
        <f>E549*F549</f>
        <v/>
      </c>
      <c r="H549" t="n">
        <v>324.65</v>
      </c>
      <c r="I549">
        <f>G549-H549</f>
        <v/>
      </c>
    </row>
    <row r="550">
      <c r="A550" t="inlineStr">
        <is>
          <t>EW-0416</t>
        </is>
      </c>
      <c r="B550" t="inlineStr">
        <is>
          <t>Eastwey</t>
        </is>
      </c>
      <c r="C550" t="inlineStr">
        <is>
          <t>open</t>
        </is>
      </c>
      <c r="D550" t="n">
        <v>33.7</v>
      </c>
      <c r="E550">
        <f>ROUNDUP(D550, 0)</f>
        <v/>
      </c>
      <c r="F550">
        <f>IF(LOWER(C550)="covered", 10.40, 7.55)</f>
        <v/>
      </c>
      <c r="G550">
        <f>E550*F550</f>
        <v/>
      </c>
      <c r="H550" t="n">
        <v>256.7</v>
      </c>
      <c r="I550">
        <f>G550-H550</f>
        <v/>
      </c>
    </row>
    <row r="551">
      <c r="A551" t="inlineStr">
        <is>
          <t>EW-0417</t>
        </is>
      </c>
      <c r="B551" t="inlineStr">
        <is>
          <t>Eastwey</t>
        </is>
      </c>
      <c r="C551" t="inlineStr">
        <is>
          <t>open</t>
        </is>
      </c>
      <c r="D551" t="n">
        <v>56.9</v>
      </c>
      <c r="E551">
        <f>ROUNDUP(D551, 0)</f>
        <v/>
      </c>
      <c r="F551">
        <f>IF(LOWER(C551)="covered", 10.40, 7.55)</f>
        <v/>
      </c>
      <c r="G551">
        <f>E551*F551</f>
        <v/>
      </c>
      <c r="H551" t="n">
        <v>430.35</v>
      </c>
      <c r="I551">
        <f>G551-H551</f>
        <v/>
      </c>
    </row>
    <row r="552">
      <c r="A552" t="inlineStr">
        <is>
          <t>EW-0418</t>
        </is>
      </c>
      <c r="B552" t="inlineStr">
        <is>
          <t>Eastwey</t>
        </is>
      </c>
      <c r="C552" t="inlineStr">
        <is>
          <t>open</t>
        </is>
      </c>
      <c r="D552" t="n">
        <v>58</v>
      </c>
      <c r="E552">
        <f>ROUNDUP(D552, 0)</f>
        <v/>
      </c>
      <c r="F552">
        <f>IF(LOWER(C552)="covered", 10.40, 7.55)</f>
        <v/>
      </c>
      <c r="G552">
        <f>E552*F552</f>
        <v/>
      </c>
      <c r="H552" t="n">
        <v>437.9</v>
      </c>
      <c r="I552">
        <f>G552-H552</f>
        <v/>
      </c>
    </row>
    <row r="553">
      <c r="A553" t="inlineStr">
        <is>
          <t>EW-0419</t>
        </is>
      </c>
      <c r="B553" t="inlineStr">
        <is>
          <t>Eastwey</t>
        </is>
      </c>
      <c r="C553" t="inlineStr">
        <is>
          <t>open</t>
        </is>
      </c>
      <c r="D553" t="n">
        <v>36.5</v>
      </c>
      <c r="E553">
        <f>ROUNDUP(D553, 0)</f>
        <v/>
      </c>
      <c r="F553">
        <f>IF(LOWER(C553)="covered", 10.40, 7.55)</f>
        <v/>
      </c>
      <c r="G553">
        <f>E553*F553</f>
        <v/>
      </c>
      <c r="H553" t="n">
        <v>339.75</v>
      </c>
      <c r="I553">
        <f>G553-H553</f>
        <v/>
      </c>
    </row>
    <row r="554">
      <c r="A554" t="inlineStr">
        <is>
          <t>EW-0420</t>
        </is>
      </c>
      <c r="B554" t="inlineStr">
        <is>
          <t>Eastwey</t>
        </is>
      </c>
      <c r="C554" t="inlineStr">
        <is>
          <t>open</t>
        </is>
      </c>
      <c r="D554" t="n">
        <v>21.8</v>
      </c>
      <c r="E554">
        <f>ROUNDUP(D554, 0)</f>
        <v/>
      </c>
      <c r="F554">
        <f>IF(LOWER(C554)="covered", 10.40, 7.55)</f>
        <v/>
      </c>
      <c r="G554">
        <f>E554*F554</f>
        <v/>
      </c>
      <c r="H554" t="n">
        <v>241.6</v>
      </c>
      <c r="I554">
        <f>G554-H554</f>
        <v/>
      </c>
    </row>
    <row r="555">
      <c r="A555" t="inlineStr">
        <is>
          <t>EW-0421</t>
        </is>
      </c>
      <c r="B555" t="inlineStr">
        <is>
          <t>Eastwey</t>
        </is>
      </c>
      <c r="C555" t="inlineStr">
        <is>
          <t>open</t>
        </is>
      </c>
      <c r="D555" t="n">
        <v>26.2</v>
      </c>
      <c r="E555">
        <f>ROUNDUP(D555, 0)</f>
        <v/>
      </c>
      <c r="F555">
        <f>IF(LOWER(C555)="covered", 10.40, 7.55)</f>
        <v/>
      </c>
      <c r="G555">
        <f>E555*F555</f>
        <v/>
      </c>
      <c r="H555" t="n">
        <v>271.8</v>
      </c>
      <c r="I555">
        <f>G555-H555</f>
        <v/>
      </c>
    </row>
    <row r="556">
      <c r="A556" t="inlineStr">
        <is>
          <t>EW-0423</t>
        </is>
      </c>
      <c r="B556" t="inlineStr">
        <is>
          <t>Eastwey</t>
        </is>
      </c>
      <c r="C556" t="inlineStr">
        <is>
          <t>open</t>
        </is>
      </c>
      <c r="D556" t="n">
        <v>37.2</v>
      </c>
      <c r="E556">
        <f>ROUNDUP(D556, 0)</f>
        <v/>
      </c>
      <c r="F556">
        <f>IF(LOWER(C556)="covered", 10.40, 7.55)</f>
        <v/>
      </c>
      <c r="G556">
        <f>E556*F556</f>
        <v/>
      </c>
      <c r="H556" t="n">
        <v>528.5</v>
      </c>
      <c r="I556">
        <f>G556-H556</f>
        <v/>
      </c>
    </row>
    <row r="557">
      <c r="A557" t="inlineStr">
        <is>
          <t>EW-0424</t>
        </is>
      </c>
      <c r="B557" t="inlineStr">
        <is>
          <t>Eastwey</t>
        </is>
      </c>
      <c r="C557" t="inlineStr">
        <is>
          <t>open</t>
        </is>
      </c>
      <c r="D557" t="n">
        <v>51.9</v>
      </c>
      <c r="E557">
        <f>ROUNDUP(D557, 0)</f>
        <v/>
      </c>
      <c r="F557">
        <f>IF(LOWER(C557)="covered", 10.40, 7.55)</f>
        <v/>
      </c>
      <c r="G557">
        <f>E557*F557</f>
        <v/>
      </c>
      <c r="H557" t="n">
        <v>392.6</v>
      </c>
      <c r="I557">
        <f>G557-H557</f>
        <v/>
      </c>
    </row>
    <row r="558">
      <c r="A558" t="inlineStr">
        <is>
          <t>EW-0502</t>
        </is>
      </c>
      <c r="B558" t="inlineStr">
        <is>
          <t>Eastwey</t>
        </is>
      </c>
      <c r="C558" t="inlineStr">
        <is>
          <t>open</t>
        </is>
      </c>
      <c r="D558" t="n">
        <v>46.4</v>
      </c>
      <c r="E558">
        <f>ROUNDUP(D558, 0)</f>
        <v/>
      </c>
      <c r="F558">
        <f>IF(LOWER(C558)="covered", 10.40, 7.55)</f>
        <v/>
      </c>
      <c r="G558">
        <f>E558*F558</f>
        <v/>
      </c>
      <c r="H558" t="n">
        <v>354.85</v>
      </c>
      <c r="I558">
        <f>G558-H558</f>
        <v/>
      </c>
    </row>
    <row r="559">
      <c r="A559" t="inlineStr">
        <is>
          <t>EW-0503</t>
        </is>
      </c>
      <c r="B559" t="inlineStr">
        <is>
          <t>Eastwey</t>
        </is>
      </c>
      <c r="C559" t="inlineStr">
        <is>
          <t>open</t>
        </is>
      </c>
      <c r="D559" t="n">
        <v>58.9</v>
      </c>
      <c r="E559">
        <f>ROUNDUP(D559, 0)</f>
        <v/>
      </c>
      <c r="F559">
        <f>IF(LOWER(C559)="covered", 10.40, 7.55)</f>
        <v/>
      </c>
      <c r="G559">
        <f>E559*F559</f>
        <v/>
      </c>
      <c r="H559" t="n">
        <v>445.45</v>
      </c>
      <c r="I559">
        <f>G559-H559</f>
        <v/>
      </c>
    </row>
    <row r="560">
      <c r="A560" t="inlineStr">
        <is>
          <t>EW-0504</t>
        </is>
      </c>
      <c r="B560" t="inlineStr">
        <is>
          <t>Eastwey</t>
        </is>
      </c>
      <c r="C560" t="inlineStr">
        <is>
          <t>open</t>
        </is>
      </c>
      <c r="D560" t="n">
        <v>54.2</v>
      </c>
      <c r="E560">
        <f>ROUNDUP(D560, 0)</f>
        <v/>
      </c>
      <c r="F560">
        <f>IF(LOWER(C560)="covered", 10.40, 7.55)</f>
        <v/>
      </c>
      <c r="G560">
        <f>E560*F560</f>
        <v/>
      </c>
      <c r="H560" t="n">
        <v>415.25</v>
      </c>
      <c r="I560">
        <f>G560-H560</f>
        <v/>
      </c>
    </row>
    <row r="561">
      <c r="A561" t="inlineStr">
        <is>
          <t>EW-0505</t>
        </is>
      </c>
      <c r="B561" t="inlineStr">
        <is>
          <t>Eastwey</t>
        </is>
      </c>
      <c r="C561" t="inlineStr">
        <is>
          <t>open</t>
        </is>
      </c>
      <c r="D561" t="n">
        <v>26.2</v>
      </c>
      <c r="E561">
        <f>ROUNDUP(D561, 0)</f>
        <v/>
      </c>
      <c r="F561">
        <f>IF(LOWER(C561)="covered", 10.40, 7.55)</f>
        <v/>
      </c>
      <c r="G561">
        <f>E561*F561</f>
        <v/>
      </c>
      <c r="H561" t="n">
        <v>241.6</v>
      </c>
      <c r="I561">
        <f>G561-H561</f>
        <v/>
      </c>
    </row>
    <row r="562">
      <c r="A562" t="inlineStr">
        <is>
          <t>EW-0506</t>
        </is>
      </c>
      <c r="B562" t="inlineStr">
        <is>
          <t>Eastwey</t>
        </is>
      </c>
      <c r="C562" t="inlineStr">
        <is>
          <t>open</t>
        </is>
      </c>
      <c r="D562" t="n">
        <v>37.4</v>
      </c>
      <c r="E562">
        <f>ROUNDUP(D562, 0)</f>
        <v/>
      </c>
      <c r="F562">
        <f>IF(LOWER(C562)="covered", 10.40, 7.55)</f>
        <v/>
      </c>
      <c r="G562">
        <f>E562*F562</f>
        <v/>
      </c>
      <c r="H562" t="n">
        <v>453</v>
      </c>
      <c r="I562">
        <f>G562-H562</f>
        <v/>
      </c>
    </row>
    <row r="563">
      <c r="A563" t="inlineStr">
        <is>
          <t>EW-0507</t>
        </is>
      </c>
      <c r="B563" t="inlineStr">
        <is>
          <t>Eastwey</t>
        </is>
      </c>
      <c r="C563" t="inlineStr">
        <is>
          <t>open</t>
        </is>
      </c>
      <c r="D563" t="n">
        <v>55.2</v>
      </c>
      <c r="E563">
        <f>ROUNDUP(D563, 0)</f>
        <v/>
      </c>
      <c r="F563">
        <f>IF(LOWER(C563)="covered", 10.40, 7.55)</f>
        <v/>
      </c>
      <c r="G563">
        <f>E563*F563</f>
        <v/>
      </c>
      <c r="H563" t="n">
        <v>528.5</v>
      </c>
      <c r="I563">
        <f>G563-H563</f>
        <v/>
      </c>
    </row>
    <row r="564">
      <c r="A564" t="inlineStr">
        <is>
          <t>EW-0508</t>
        </is>
      </c>
      <c r="B564" t="inlineStr">
        <is>
          <t>Eastwey</t>
        </is>
      </c>
      <c r="C564" t="inlineStr">
        <is>
          <t>open</t>
        </is>
      </c>
      <c r="D564" t="n">
        <v>59.7</v>
      </c>
      <c r="E564">
        <f>ROUNDUP(D564, 0)</f>
        <v/>
      </c>
      <c r="F564">
        <f>IF(LOWER(C564)="covered", 10.40, 7.55)</f>
        <v/>
      </c>
      <c r="G564">
        <f>E564*F564</f>
        <v/>
      </c>
      <c r="H564" t="n">
        <v>453</v>
      </c>
      <c r="I564">
        <f>G564-H564</f>
        <v/>
      </c>
    </row>
    <row r="565">
      <c r="A565" t="inlineStr">
        <is>
          <t>EW-0510</t>
        </is>
      </c>
      <c r="B565" t="inlineStr">
        <is>
          <t>Eastwey</t>
        </is>
      </c>
      <c r="C565" t="inlineStr">
        <is>
          <t>open</t>
        </is>
      </c>
      <c r="D565" t="n">
        <v>52.5</v>
      </c>
      <c r="E565">
        <f>ROUNDUP(D565, 0)</f>
        <v/>
      </c>
      <c r="F565">
        <f>IF(LOWER(C565)="covered", 10.40, 7.55)</f>
        <v/>
      </c>
      <c r="G565">
        <f>E565*F565</f>
        <v/>
      </c>
      <c r="H565" t="n">
        <v>400.15</v>
      </c>
      <c r="I565">
        <f>G565-H565</f>
        <v/>
      </c>
    </row>
    <row r="566">
      <c r="A566" t="inlineStr">
        <is>
          <t>EW-0511</t>
        </is>
      </c>
      <c r="B566" t="inlineStr">
        <is>
          <t>Eastwey</t>
        </is>
      </c>
      <c r="C566" t="inlineStr">
        <is>
          <t>open</t>
        </is>
      </c>
      <c r="D566" t="n">
        <v>35.3</v>
      </c>
      <c r="E566">
        <f>ROUNDUP(D566, 0)</f>
        <v/>
      </c>
      <c r="F566">
        <f>IF(LOWER(C566)="covered", 10.40, 7.55)</f>
        <v/>
      </c>
      <c r="G566">
        <f>E566*F566</f>
        <v/>
      </c>
      <c r="H566" t="n">
        <v>271.8</v>
      </c>
      <c r="I566">
        <f>G566-H566</f>
        <v/>
      </c>
    </row>
    <row r="567">
      <c r="A567" t="inlineStr">
        <is>
          <t>EW-0512</t>
        </is>
      </c>
      <c r="B567" t="inlineStr">
        <is>
          <t>Eastwey</t>
        </is>
      </c>
      <c r="C567" t="inlineStr">
        <is>
          <t>open</t>
        </is>
      </c>
      <c r="D567" t="n">
        <v>43.8</v>
      </c>
      <c r="E567">
        <f>ROUNDUP(D567, 0)</f>
        <v/>
      </c>
      <c r="F567">
        <f>IF(LOWER(C567)="covered", 10.40, 7.55)</f>
        <v/>
      </c>
      <c r="G567">
        <f>E567*F567</f>
        <v/>
      </c>
      <c r="H567" t="n">
        <v>453</v>
      </c>
      <c r="I567">
        <f>G567-H567</f>
        <v/>
      </c>
    </row>
    <row r="568">
      <c r="A568" t="inlineStr">
        <is>
          <t>EW-0513</t>
        </is>
      </c>
      <c r="B568" t="inlineStr">
        <is>
          <t>Eastwey</t>
        </is>
      </c>
      <c r="C568" t="inlineStr">
        <is>
          <t>open</t>
        </is>
      </c>
      <c r="D568" t="n">
        <v>40.1</v>
      </c>
      <c r="E568">
        <f>ROUNDUP(D568, 0)</f>
        <v/>
      </c>
      <c r="F568">
        <f>IF(LOWER(C568)="covered", 10.40, 7.55)</f>
        <v/>
      </c>
      <c r="G568">
        <f>E568*F568</f>
        <v/>
      </c>
      <c r="H568" t="n">
        <v>309.55</v>
      </c>
      <c r="I568">
        <f>G568-H568</f>
        <v/>
      </c>
    </row>
    <row r="569">
      <c r="A569" t="inlineStr">
        <is>
          <t>EW-0514</t>
        </is>
      </c>
      <c r="B569" t="inlineStr">
        <is>
          <t>Eastwey</t>
        </is>
      </c>
      <c r="C569" t="inlineStr">
        <is>
          <t>open</t>
        </is>
      </c>
      <c r="D569" t="n">
        <v>50.2</v>
      </c>
      <c r="E569">
        <f>ROUNDUP(D569, 0)</f>
        <v/>
      </c>
      <c r="F569">
        <f>IF(LOWER(C569)="covered", 10.40, 7.55)</f>
        <v/>
      </c>
      <c r="G569">
        <f>E569*F569</f>
        <v/>
      </c>
      <c r="H569" t="n">
        <v>385.05</v>
      </c>
      <c r="I569">
        <f>G569-H569</f>
        <v/>
      </c>
    </row>
    <row r="570">
      <c r="A570" t="inlineStr">
        <is>
          <t>EW-0515</t>
        </is>
      </c>
      <c r="B570" t="inlineStr">
        <is>
          <t>Eastwey</t>
        </is>
      </c>
      <c r="C570" t="inlineStr">
        <is>
          <t>open</t>
        </is>
      </c>
      <c r="D570" t="n">
        <v>61</v>
      </c>
      <c r="E570">
        <f>ROUNDUP(D570, 0)</f>
        <v/>
      </c>
      <c r="F570">
        <f>IF(LOWER(C570)="covered", 10.40, 7.55)</f>
        <v/>
      </c>
      <c r="G570">
        <f>E570*F570</f>
        <v/>
      </c>
      <c r="H570" t="n">
        <v>460.55</v>
      </c>
      <c r="I570">
        <f>G570-H570</f>
        <v/>
      </c>
    </row>
    <row r="571">
      <c r="A571" t="inlineStr">
        <is>
          <t>EW-0516</t>
        </is>
      </c>
      <c r="B571" t="inlineStr">
        <is>
          <t>Eastwey</t>
        </is>
      </c>
      <c r="C571" t="inlineStr">
        <is>
          <t>open</t>
        </is>
      </c>
      <c r="D571" t="n">
        <v>30.5</v>
      </c>
      <c r="E571">
        <f>ROUNDUP(D571, 0)</f>
        <v/>
      </c>
      <c r="F571">
        <f>IF(LOWER(C571)="covered", 10.40, 7.55)</f>
        <v/>
      </c>
      <c r="G571">
        <f>E571*F571</f>
        <v/>
      </c>
      <c r="H571" t="n">
        <v>302</v>
      </c>
      <c r="I571">
        <f>G571-H571</f>
        <v/>
      </c>
    </row>
    <row r="572">
      <c r="A572" t="inlineStr">
        <is>
          <t>EW-0517</t>
        </is>
      </c>
      <c r="B572" t="inlineStr">
        <is>
          <t>Eastwey</t>
        </is>
      </c>
      <c r="C572" t="inlineStr">
        <is>
          <t>open</t>
        </is>
      </c>
      <c r="D572" t="n">
        <v>38.6</v>
      </c>
      <c r="E572">
        <f>ROUNDUP(D572, 0)</f>
        <v/>
      </c>
      <c r="F572">
        <f>IF(LOWER(C572)="covered", 10.40, 7.55)</f>
        <v/>
      </c>
      <c r="G572">
        <f>E572*F572</f>
        <v/>
      </c>
      <c r="H572" t="n">
        <v>294.45</v>
      </c>
      <c r="I572">
        <f>G572-H572</f>
        <v/>
      </c>
    </row>
    <row r="573">
      <c r="A573" t="inlineStr">
        <is>
          <t>EW-0518</t>
        </is>
      </c>
      <c r="B573" t="inlineStr">
        <is>
          <t>Eastwey</t>
        </is>
      </c>
      <c r="C573" t="inlineStr">
        <is>
          <t>open</t>
        </is>
      </c>
      <c r="D573" t="n">
        <v>36.8</v>
      </c>
      <c r="E573">
        <f>ROUNDUP(D573, 0)</f>
        <v/>
      </c>
      <c r="F573">
        <f>IF(LOWER(C573)="covered", 10.40, 7.55)</f>
        <v/>
      </c>
      <c r="G573">
        <f>E573*F573</f>
        <v/>
      </c>
      <c r="H573" t="n">
        <v>377.5</v>
      </c>
      <c r="I573">
        <f>G573-H573</f>
        <v/>
      </c>
    </row>
    <row r="574">
      <c r="A574" t="inlineStr">
        <is>
          <t>EW-0519</t>
        </is>
      </c>
      <c r="B574" t="inlineStr">
        <is>
          <t>Eastwey</t>
        </is>
      </c>
      <c r="C574" t="inlineStr">
        <is>
          <t>open</t>
        </is>
      </c>
      <c r="D574" t="n">
        <v>53.2</v>
      </c>
      <c r="E574">
        <f>ROUNDUP(D574, 0)</f>
        <v/>
      </c>
      <c r="F574">
        <f>IF(LOWER(C574)="covered", 10.40, 7.55)</f>
        <v/>
      </c>
      <c r="G574">
        <f>E574*F574</f>
        <v/>
      </c>
      <c r="H574" t="n">
        <v>407.7</v>
      </c>
      <c r="I574">
        <f>G574-H574</f>
        <v/>
      </c>
    </row>
    <row r="575">
      <c r="A575" t="inlineStr">
        <is>
          <t>EW-0520</t>
        </is>
      </c>
      <c r="B575" t="inlineStr">
        <is>
          <t>Eastwey</t>
        </is>
      </c>
      <c r="C575" t="inlineStr">
        <is>
          <t>open</t>
        </is>
      </c>
      <c r="D575" t="n">
        <v>26.9</v>
      </c>
      <c r="E575">
        <f>ROUNDUP(D575, 0)</f>
        <v/>
      </c>
      <c r="F575">
        <f>IF(LOWER(C575)="covered", 10.40, 7.55)</f>
        <v/>
      </c>
      <c r="G575">
        <f>E575*F575</f>
        <v/>
      </c>
      <c r="H575" t="n">
        <v>203.85</v>
      </c>
      <c r="I575">
        <f>G575-H575</f>
        <v/>
      </c>
    </row>
    <row r="576">
      <c r="A576" t="inlineStr">
        <is>
          <t>EW-0521</t>
        </is>
      </c>
      <c r="B576" t="inlineStr">
        <is>
          <t>Eastwey</t>
        </is>
      </c>
      <c r="C576" t="inlineStr">
        <is>
          <t>open</t>
        </is>
      </c>
      <c r="D576" t="n">
        <v>38.3</v>
      </c>
      <c r="E576">
        <f>ROUNDUP(D576, 0)</f>
        <v/>
      </c>
      <c r="F576">
        <f>IF(LOWER(C576)="covered", 10.40, 7.55)</f>
        <v/>
      </c>
      <c r="G576">
        <f>E576*F576</f>
        <v/>
      </c>
      <c r="H576" t="n">
        <v>377.5</v>
      </c>
      <c r="I576">
        <f>G576-H576</f>
        <v/>
      </c>
    </row>
    <row r="577">
      <c r="A577" t="inlineStr">
        <is>
          <t>EW-0522</t>
        </is>
      </c>
      <c r="B577" t="inlineStr">
        <is>
          <t>Eastwey</t>
        </is>
      </c>
      <c r="C577" t="inlineStr">
        <is>
          <t>open</t>
        </is>
      </c>
      <c r="D577" t="n">
        <v>26.5</v>
      </c>
      <c r="E577">
        <f>ROUNDUP(D577, 0)</f>
        <v/>
      </c>
      <c r="F577">
        <f>IF(LOWER(C577)="covered", 10.40, 7.55)</f>
        <v/>
      </c>
      <c r="G577">
        <f>E577*F577</f>
        <v/>
      </c>
      <c r="H577" t="n">
        <v>271.8</v>
      </c>
      <c r="I577">
        <f>G577-H577</f>
        <v/>
      </c>
    </row>
    <row r="578">
      <c r="A578" t="inlineStr">
        <is>
          <t>EW-0523</t>
        </is>
      </c>
      <c r="B578" t="inlineStr">
        <is>
          <t>Eastwey</t>
        </is>
      </c>
      <c r="C578" t="inlineStr">
        <is>
          <t>open</t>
        </is>
      </c>
      <c r="D578" t="n">
        <v>57.9</v>
      </c>
      <c r="E578">
        <f>ROUNDUP(D578, 0)</f>
        <v/>
      </c>
      <c r="F578">
        <f>IF(LOWER(C578)="covered", 10.40, 7.55)</f>
        <v/>
      </c>
      <c r="G578">
        <f>E578*F578</f>
        <v/>
      </c>
      <c r="H578" t="n">
        <v>437.9</v>
      </c>
      <c r="I578">
        <f>G578-H578</f>
        <v/>
      </c>
    </row>
    <row r="579">
      <c r="A579" t="inlineStr">
        <is>
          <t>EW-0524</t>
        </is>
      </c>
      <c r="B579" t="inlineStr">
        <is>
          <t>Eastwey</t>
        </is>
      </c>
      <c r="C579" t="inlineStr">
        <is>
          <t>open</t>
        </is>
      </c>
      <c r="D579" t="n">
        <v>19.2</v>
      </c>
      <c r="E579">
        <f>ROUNDUP(D579, 0)</f>
        <v/>
      </c>
      <c r="F579">
        <f>IF(LOWER(C579)="covered", 10.40, 7.55)</f>
        <v/>
      </c>
      <c r="G579">
        <f>E579*F579</f>
        <v/>
      </c>
      <c r="H579" t="n">
        <v>241.6</v>
      </c>
      <c r="I579">
        <f>G579-H579</f>
        <v/>
      </c>
    </row>
    <row r="580">
      <c r="A580" t="inlineStr">
        <is>
          <t>EW-0601</t>
        </is>
      </c>
      <c r="B580" t="inlineStr">
        <is>
          <t>Eastwey</t>
        </is>
      </c>
      <c r="C580" t="inlineStr">
        <is>
          <t>open</t>
        </is>
      </c>
      <c r="D580" t="n">
        <v>22.8</v>
      </c>
      <c r="E580">
        <f>ROUNDUP(D580, 0)</f>
        <v/>
      </c>
      <c r="F580">
        <f>IF(LOWER(C580)="covered", 10.40, 7.55)</f>
        <v/>
      </c>
      <c r="G580">
        <f>E580*F580</f>
        <v/>
      </c>
      <c r="H580" t="n">
        <v>181.2</v>
      </c>
      <c r="I580">
        <f>G580-H580</f>
        <v/>
      </c>
    </row>
    <row r="581">
      <c r="A581" t="inlineStr">
        <is>
          <t>EW-0602</t>
        </is>
      </c>
      <c r="B581" t="inlineStr">
        <is>
          <t>Eastwey</t>
        </is>
      </c>
      <c r="C581" t="inlineStr">
        <is>
          <t>open</t>
        </is>
      </c>
      <c r="D581" t="n">
        <v>26.9</v>
      </c>
      <c r="E581">
        <f>ROUNDUP(D581, 0)</f>
        <v/>
      </c>
      <c r="F581">
        <f>IF(LOWER(C581)="covered", 10.40, 7.55)</f>
        <v/>
      </c>
      <c r="G581">
        <f>E581*F581</f>
        <v/>
      </c>
      <c r="H581" t="n">
        <v>377.5</v>
      </c>
      <c r="I581">
        <f>G581-H581</f>
        <v/>
      </c>
    </row>
    <row r="582">
      <c r="A582" t="inlineStr">
        <is>
          <t>EW-0603</t>
        </is>
      </c>
      <c r="B582" t="inlineStr">
        <is>
          <t>Eastwey</t>
        </is>
      </c>
      <c r="C582" t="inlineStr">
        <is>
          <t>open</t>
        </is>
      </c>
      <c r="D582" t="n">
        <v>22</v>
      </c>
      <c r="E582">
        <f>ROUNDUP(D582, 0)</f>
        <v/>
      </c>
      <c r="F582">
        <f>IF(LOWER(C582)="covered", 10.40, 7.55)</f>
        <v/>
      </c>
      <c r="G582">
        <f>E582*F582</f>
        <v/>
      </c>
      <c r="H582" t="n">
        <v>181.2</v>
      </c>
      <c r="I582">
        <f>G582-H582</f>
        <v/>
      </c>
    </row>
    <row r="583">
      <c r="A583" t="inlineStr">
        <is>
          <t>EW-0604</t>
        </is>
      </c>
      <c r="B583" t="inlineStr">
        <is>
          <t>Eastwey</t>
        </is>
      </c>
      <c r="C583" t="inlineStr">
        <is>
          <t>open</t>
        </is>
      </c>
      <c r="D583" t="n">
        <v>35</v>
      </c>
      <c r="E583">
        <f>ROUNDUP(D583, 0)</f>
        <v/>
      </c>
      <c r="F583">
        <f>IF(LOWER(C583)="covered", 10.40, 7.55)</f>
        <v/>
      </c>
      <c r="G583">
        <f>E583*F583</f>
        <v/>
      </c>
      <c r="H583" t="n">
        <v>453</v>
      </c>
      <c r="I583">
        <f>G583-H583</f>
        <v/>
      </c>
    </row>
    <row r="584">
      <c r="A584" t="inlineStr">
        <is>
          <t>EW-0605</t>
        </is>
      </c>
      <c r="B584" t="inlineStr">
        <is>
          <t>Eastwey</t>
        </is>
      </c>
      <c r="C584" t="inlineStr">
        <is>
          <t>open</t>
        </is>
      </c>
      <c r="D584" t="n">
        <v>54.9</v>
      </c>
      <c r="E584">
        <f>ROUNDUP(D584, 0)</f>
        <v/>
      </c>
      <c r="F584">
        <f>IF(LOWER(C584)="covered", 10.40, 7.55)</f>
        <v/>
      </c>
      <c r="G584">
        <f>E584*F584</f>
        <v/>
      </c>
      <c r="H584" t="n">
        <v>415.25</v>
      </c>
      <c r="I584">
        <f>G584-H584</f>
        <v/>
      </c>
    </row>
    <row r="585">
      <c r="A585" t="inlineStr">
        <is>
          <t>EW-0606</t>
        </is>
      </c>
      <c r="B585" t="inlineStr">
        <is>
          <t>Eastwey</t>
        </is>
      </c>
      <c r="C585" t="inlineStr">
        <is>
          <t>open</t>
        </is>
      </c>
      <c r="D585" t="n">
        <v>53.8</v>
      </c>
      <c r="E585">
        <f>ROUNDUP(D585, 0)</f>
        <v/>
      </c>
      <c r="F585">
        <f>IF(LOWER(C585)="covered", 10.40, 7.55)</f>
        <v/>
      </c>
      <c r="G585">
        <f>E585*F585</f>
        <v/>
      </c>
      <c r="H585" t="n">
        <v>407.7</v>
      </c>
      <c r="I585">
        <f>G585-H585</f>
        <v/>
      </c>
    </row>
    <row r="586">
      <c r="A586" t="inlineStr">
        <is>
          <t>EW-0607</t>
        </is>
      </c>
      <c r="B586" t="inlineStr">
        <is>
          <t>Eastwey</t>
        </is>
      </c>
      <c r="C586" t="inlineStr">
        <is>
          <t>open</t>
        </is>
      </c>
      <c r="D586" t="n">
        <v>40</v>
      </c>
      <c r="E586">
        <f>ROUNDUP(D586, 0)</f>
        <v/>
      </c>
      <c r="F586">
        <f>IF(LOWER(C586)="covered", 10.40, 7.55)</f>
        <v/>
      </c>
      <c r="G586">
        <f>E586*F586</f>
        <v/>
      </c>
      <c r="H586" t="n">
        <v>302</v>
      </c>
      <c r="I586">
        <f>G586-H586</f>
        <v/>
      </c>
    </row>
    <row r="587">
      <c r="A587" t="inlineStr">
        <is>
          <t>EW-0608</t>
        </is>
      </c>
      <c r="B587" t="inlineStr">
        <is>
          <t>Eastwey</t>
        </is>
      </c>
      <c r="C587" t="inlineStr">
        <is>
          <t>open</t>
        </is>
      </c>
      <c r="D587" t="n">
        <v>42.7</v>
      </c>
      <c r="E587">
        <f>ROUNDUP(D587, 0)</f>
        <v/>
      </c>
      <c r="F587">
        <f>IF(LOWER(C587)="covered", 10.40, 7.55)</f>
        <v/>
      </c>
      <c r="G587">
        <f>E587*F587</f>
        <v/>
      </c>
      <c r="H587" t="n">
        <v>324.65</v>
      </c>
      <c r="I587">
        <f>G587-H587</f>
        <v/>
      </c>
    </row>
    <row r="588">
      <c r="A588" t="inlineStr">
        <is>
          <t>EW-0609</t>
        </is>
      </c>
      <c r="B588" t="inlineStr">
        <is>
          <t>Eastwey</t>
        </is>
      </c>
      <c r="C588" t="inlineStr">
        <is>
          <t>open</t>
        </is>
      </c>
      <c r="D588" t="n">
        <v>51.6</v>
      </c>
      <c r="E588">
        <f>ROUNDUP(D588, 0)</f>
        <v/>
      </c>
      <c r="F588">
        <f>IF(LOWER(C588)="covered", 10.40, 7.55)</f>
        <v/>
      </c>
      <c r="G588">
        <f>E588*F588</f>
        <v/>
      </c>
      <c r="H588" t="n">
        <v>392.6</v>
      </c>
      <c r="I588">
        <f>G588-H588</f>
        <v/>
      </c>
    </row>
    <row r="589">
      <c r="A589" t="inlineStr">
        <is>
          <t>EW-0610</t>
        </is>
      </c>
      <c r="B589" t="inlineStr">
        <is>
          <t>Eastwey</t>
        </is>
      </c>
      <c r="C589" t="inlineStr">
        <is>
          <t>open</t>
        </is>
      </c>
      <c r="D589" t="n">
        <v>50.3</v>
      </c>
      <c r="E589">
        <f>ROUNDUP(D589, 0)</f>
        <v/>
      </c>
      <c r="F589">
        <f>IF(LOWER(C589)="covered", 10.40, 7.55)</f>
        <v/>
      </c>
      <c r="G589">
        <f>E589*F589</f>
        <v/>
      </c>
      <c r="H589" t="n">
        <v>385.05</v>
      </c>
      <c r="I589">
        <f>G589-H589</f>
        <v/>
      </c>
    </row>
    <row r="590">
      <c r="A590" t="inlineStr">
        <is>
          <t>EW-0611</t>
        </is>
      </c>
      <c r="B590" t="inlineStr">
        <is>
          <t>Eastwey</t>
        </is>
      </c>
      <c r="C590" t="inlineStr">
        <is>
          <t>open</t>
        </is>
      </c>
      <c r="D590" t="n">
        <v>47</v>
      </c>
      <c r="E590">
        <f>ROUNDUP(D590, 0)</f>
        <v/>
      </c>
      <c r="F590">
        <f>IF(LOWER(C590)="covered", 10.40, 7.55)</f>
        <v/>
      </c>
      <c r="G590">
        <f>E590*F590</f>
        <v/>
      </c>
      <c r="H590" t="n">
        <v>354.85</v>
      </c>
      <c r="I590">
        <f>G590-H590</f>
        <v/>
      </c>
    </row>
    <row r="591">
      <c r="A591" t="inlineStr">
        <is>
          <t>EW-0614</t>
        </is>
      </c>
      <c r="B591" t="inlineStr">
        <is>
          <t>Eastwey</t>
        </is>
      </c>
      <c r="C591" t="inlineStr">
        <is>
          <t>open</t>
        </is>
      </c>
      <c r="D591" t="n">
        <v>53</v>
      </c>
      <c r="E591">
        <f>ROUNDUP(D591, 0)</f>
        <v/>
      </c>
      <c r="F591">
        <f>IF(LOWER(C591)="covered", 10.40, 7.55)</f>
        <v/>
      </c>
      <c r="G591">
        <f>E591*F591</f>
        <v/>
      </c>
      <c r="H591" t="n">
        <v>400.15</v>
      </c>
      <c r="I591">
        <f>G591-H591</f>
        <v/>
      </c>
    </row>
    <row r="592">
      <c r="A592" t="inlineStr">
        <is>
          <t>EW-0615</t>
        </is>
      </c>
      <c r="B592" t="inlineStr">
        <is>
          <t>Eastwey</t>
        </is>
      </c>
      <c r="C592" t="inlineStr">
        <is>
          <t>open</t>
        </is>
      </c>
      <c r="D592" t="n">
        <v>23.5</v>
      </c>
      <c r="E592">
        <f>ROUNDUP(D592, 0)</f>
        <v/>
      </c>
      <c r="F592">
        <f>IF(LOWER(C592)="covered", 10.40, 7.55)</f>
        <v/>
      </c>
      <c r="G592">
        <f>E592*F592</f>
        <v/>
      </c>
      <c r="H592" t="n">
        <v>339.75</v>
      </c>
      <c r="I592">
        <f>G592-H592</f>
        <v/>
      </c>
    </row>
    <row r="593">
      <c r="A593" t="inlineStr">
        <is>
          <t>EW-0616</t>
        </is>
      </c>
      <c r="B593" t="inlineStr">
        <is>
          <t>Eastwey</t>
        </is>
      </c>
      <c r="C593" t="inlineStr">
        <is>
          <t>open</t>
        </is>
      </c>
      <c r="D593" t="n">
        <v>42.6</v>
      </c>
      <c r="E593">
        <f>ROUNDUP(D593, 0)</f>
        <v/>
      </c>
      <c r="F593">
        <f>IF(LOWER(C593)="covered", 10.40, 7.55)</f>
        <v/>
      </c>
      <c r="G593">
        <f>E593*F593</f>
        <v/>
      </c>
      <c r="H593" t="n">
        <v>324.65</v>
      </c>
      <c r="I593">
        <f>G593-H593</f>
        <v/>
      </c>
    </row>
    <row r="594">
      <c r="A594" t="inlineStr">
        <is>
          <t>EW-0617</t>
        </is>
      </c>
      <c r="B594" t="inlineStr">
        <is>
          <t>Eastwey</t>
        </is>
      </c>
      <c r="C594" t="inlineStr">
        <is>
          <t>open</t>
        </is>
      </c>
      <c r="D594" t="n">
        <v>27</v>
      </c>
      <c r="E594">
        <f>ROUNDUP(D594, 0)</f>
        <v/>
      </c>
      <c r="F594">
        <f>IF(LOWER(C594)="covered", 10.40, 7.55)</f>
        <v/>
      </c>
      <c r="G594">
        <f>E594*F594</f>
        <v/>
      </c>
      <c r="H594" t="n">
        <v>528.5</v>
      </c>
      <c r="I594">
        <f>G594-H594</f>
        <v/>
      </c>
    </row>
    <row r="595">
      <c r="A595" t="inlineStr">
        <is>
          <t>EW-0618</t>
        </is>
      </c>
      <c r="B595" t="inlineStr">
        <is>
          <t>Eastwey</t>
        </is>
      </c>
      <c r="C595" t="inlineStr">
        <is>
          <t>open</t>
        </is>
      </c>
      <c r="D595" t="n">
        <v>27.3</v>
      </c>
      <c r="E595">
        <f>ROUNDUP(D595, 0)</f>
        <v/>
      </c>
      <c r="F595">
        <f>IF(LOWER(C595)="covered", 10.40, 7.55)</f>
        <v/>
      </c>
      <c r="G595">
        <f>E595*F595</f>
        <v/>
      </c>
      <c r="H595" t="n">
        <v>211.4</v>
      </c>
      <c r="I595">
        <f>G595-H595</f>
        <v/>
      </c>
    </row>
    <row r="596">
      <c r="A596" t="inlineStr">
        <is>
          <t>EW-0621</t>
        </is>
      </c>
      <c r="B596" t="inlineStr">
        <is>
          <t>Eastwey</t>
        </is>
      </c>
      <c r="C596" t="inlineStr">
        <is>
          <t>open</t>
        </is>
      </c>
      <c r="D596" t="n">
        <v>61.6</v>
      </c>
      <c r="E596">
        <f>ROUNDUP(D596, 0)</f>
        <v/>
      </c>
      <c r="F596">
        <f>IF(LOWER(C596)="covered", 10.40, 7.55)</f>
        <v/>
      </c>
      <c r="G596">
        <f>E596*F596</f>
        <v/>
      </c>
      <c r="H596" t="n">
        <v>604</v>
      </c>
      <c r="I596">
        <f>G596-H596</f>
        <v/>
      </c>
    </row>
    <row r="597">
      <c r="A597" t="inlineStr">
        <is>
          <t>EW-0623</t>
        </is>
      </c>
      <c r="B597" t="inlineStr">
        <is>
          <t>Eastwey</t>
        </is>
      </c>
      <c r="C597" t="inlineStr">
        <is>
          <t>open</t>
        </is>
      </c>
      <c r="D597" t="n">
        <v>61.8</v>
      </c>
      <c r="E597">
        <f>ROUNDUP(D597, 0)</f>
        <v/>
      </c>
      <c r="F597">
        <f>IF(LOWER(C597)="covered", 10.40, 7.55)</f>
        <v/>
      </c>
      <c r="G597">
        <f>E597*F597</f>
        <v/>
      </c>
      <c r="H597" t="n">
        <v>468.1</v>
      </c>
      <c r="I597">
        <f>G597-H597</f>
        <v/>
      </c>
    </row>
    <row r="598">
      <c r="A598" t="inlineStr">
        <is>
          <t>EW-0624</t>
        </is>
      </c>
      <c r="B598" t="inlineStr">
        <is>
          <t>Eastwey</t>
        </is>
      </c>
      <c r="C598" t="inlineStr">
        <is>
          <t>open</t>
        </is>
      </c>
      <c r="D598" t="n">
        <v>47.3</v>
      </c>
      <c r="E598">
        <f>ROUNDUP(D598, 0)</f>
        <v/>
      </c>
      <c r="F598">
        <f>IF(LOWER(C598)="covered", 10.40, 7.55)</f>
        <v/>
      </c>
      <c r="G598">
        <f>E598*F598</f>
        <v/>
      </c>
      <c r="H598" t="n">
        <v>453</v>
      </c>
      <c r="I598">
        <f>G598-H598</f>
        <v/>
      </c>
    </row>
    <row r="599">
      <c r="A599" t="inlineStr">
        <is>
          <t>EW-0702</t>
        </is>
      </c>
      <c r="B599" t="inlineStr">
        <is>
          <t>Eastwey</t>
        </is>
      </c>
      <c r="C599" t="inlineStr">
        <is>
          <t>open</t>
        </is>
      </c>
      <c r="D599" t="n">
        <v>24</v>
      </c>
      <c r="E599">
        <f>ROUNDUP(D599, 0)</f>
        <v/>
      </c>
      <c r="F599">
        <f>IF(LOWER(C599)="covered", 10.40, 7.55)</f>
        <v/>
      </c>
      <c r="G599">
        <f>E599*F599</f>
        <v/>
      </c>
      <c r="H599" t="n">
        <v>339.75</v>
      </c>
      <c r="I599">
        <f>G599-H599</f>
        <v/>
      </c>
    </row>
    <row r="600">
      <c r="A600" t="inlineStr">
        <is>
          <t>EW-0703</t>
        </is>
      </c>
      <c r="B600" t="inlineStr">
        <is>
          <t>Eastwey</t>
        </is>
      </c>
      <c r="C600" t="inlineStr">
        <is>
          <t>open</t>
        </is>
      </c>
      <c r="D600" t="n">
        <v>51.2</v>
      </c>
      <c r="E600">
        <f>ROUNDUP(D600, 0)</f>
        <v/>
      </c>
      <c r="F600">
        <f>IF(LOWER(C600)="covered", 10.40, 7.55)</f>
        <v/>
      </c>
      <c r="G600">
        <f>E600*F600</f>
        <v/>
      </c>
      <c r="H600" t="n">
        <v>392.6</v>
      </c>
      <c r="I600">
        <f>G600-H600</f>
        <v/>
      </c>
    </row>
    <row r="601">
      <c r="A601" t="inlineStr">
        <is>
          <t>EW-0704</t>
        </is>
      </c>
      <c r="B601" t="inlineStr">
        <is>
          <t>Eastwey</t>
        </is>
      </c>
      <c r="C601" t="inlineStr">
        <is>
          <t>open</t>
        </is>
      </c>
      <c r="D601" t="n">
        <v>44.2</v>
      </c>
      <c r="E601">
        <f>ROUNDUP(D601, 0)</f>
        <v/>
      </c>
      <c r="F601">
        <f>IF(LOWER(C601)="covered", 10.40, 7.55)</f>
        <v/>
      </c>
      <c r="G601">
        <f>E601*F601</f>
        <v/>
      </c>
      <c r="H601" t="n">
        <v>339.75</v>
      </c>
      <c r="I601">
        <f>G601-H601</f>
        <v/>
      </c>
    </row>
    <row r="602">
      <c r="A602" t="inlineStr">
        <is>
          <t>EW-0705</t>
        </is>
      </c>
      <c r="B602" t="inlineStr">
        <is>
          <t>Eastwey</t>
        </is>
      </c>
      <c r="C602" t="inlineStr">
        <is>
          <t>open</t>
        </is>
      </c>
      <c r="D602" t="n">
        <v>50.3</v>
      </c>
      <c r="E602">
        <f>ROUNDUP(D602, 0)</f>
        <v/>
      </c>
      <c r="F602">
        <f>IF(LOWER(C602)="covered", 10.40, 7.55)</f>
        <v/>
      </c>
      <c r="G602">
        <f>E602*F602</f>
        <v/>
      </c>
      <c r="H602" t="n">
        <v>385.05</v>
      </c>
      <c r="I602">
        <f>G602-H602</f>
        <v/>
      </c>
    </row>
    <row r="603">
      <c r="A603" t="inlineStr">
        <is>
          <t>EW-0706</t>
        </is>
      </c>
      <c r="B603" t="inlineStr">
        <is>
          <t>Eastwey</t>
        </is>
      </c>
      <c r="C603" t="inlineStr">
        <is>
          <t>open</t>
        </is>
      </c>
      <c r="D603" t="n">
        <v>42.5</v>
      </c>
      <c r="E603">
        <f>ROUNDUP(D603, 0)</f>
        <v/>
      </c>
      <c r="F603">
        <f>IF(LOWER(C603)="covered", 10.40, 7.55)</f>
        <v/>
      </c>
      <c r="G603">
        <f>E603*F603</f>
        <v/>
      </c>
      <c r="H603" t="n">
        <v>324.65</v>
      </c>
      <c r="I603">
        <f>G603-H603</f>
        <v/>
      </c>
    </row>
    <row r="604">
      <c r="A604" t="inlineStr">
        <is>
          <t>EW-0708</t>
        </is>
      </c>
      <c r="B604" t="inlineStr">
        <is>
          <t>Eastwey</t>
        </is>
      </c>
      <c r="C604" t="inlineStr">
        <is>
          <t>open</t>
        </is>
      </c>
      <c r="D604" t="n">
        <v>44.2</v>
      </c>
      <c r="E604">
        <f>ROUNDUP(D604, 0)</f>
        <v/>
      </c>
      <c r="F604">
        <f>IF(LOWER(C604)="covered", 10.40, 7.55)</f>
        <v/>
      </c>
      <c r="G604">
        <f>E604*F604</f>
        <v/>
      </c>
      <c r="H604" t="n">
        <v>377.5</v>
      </c>
      <c r="I604">
        <f>G604-H604</f>
        <v/>
      </c>
    </row>
    <row r="605">
      <c r="A605" t="inlineStr">
        <is>
          <t>EW-0709</t>
        </is>
      </c>
      <c r="B605" t="inlineStr">
        <is>
          <t>Eastwey</t>
        </is>
      </c>
      <c r="C605" t="inlineStr">
        <is>
          <t>open</t>
        </is>
      </c>
      <c r="D605" t="n">
        <v>23.6</v>
      </c>
      <c r="E605">
        <f>ROUNDUP(D605, 0)</f>
        <v/>
      </c>
      <c r="F605">
        <f>IF(LOWER(C605)="covered", 10.40, 7.55)</f>
        <v/>
      </c>
      <c r="G605">
        <f>E605*F605</f>
        <v/>
      </c>
      <c r="H605" t="n">
        <v>211.4</v>
      </c>
      <c r="I605">
        <f>G605-H605</f>
        <v/>
      </c>
    </row>
    <row r="606">
      <c r="A606" t="inlineStr">
        <is>
          <t>EW-0710</t>
        </is>
      </c>
      <c r="B606" t="inlineStr">
        <is>
          <t>Eastwey</t>
        </is>
      </c>
      <c r="C606" t="inlineStr">
        <is>
          <t>open</t>
        </is>
      </c>
      <c r="D606" t="n">
        <v>27.6</v>
      </c>
      <c r="E606">
        <f>ROUNDUP(D606, 0)</f>
        <v/>
      </c>
      <c r="F606">
        <f>IF(LOWER(C606)="covered", 10.40, 7.55)</f>
        <v/>
      </c>
      <c r="G606">
        <f>E606*F606</f>
        <v/>
      </c>
      <c r="H606" t="n">
        <v>211.4</v>
      </c>
      <c r="I606">
        <f>G606-H606</f>
        <v/>
      </c>
    </row>
    <row r="607">
      <c r="A607" t="inlineStr">
        <is>
          <t>EW-0712</t>
        </is>
      </c>
      <c r="B607" t="inlineStr">
        <is>
          <t>Eastwey</t>
        </is>
      </c>
      <c r="C607" t="inlineStr">
        <is>
          <t>open</t>
        </is>
      </c>
      <c r="D607" t="n">
        <v>50.6</v>
      </c>
      <c r="E607">
        <f>ROUNDUP(D607, 0)</f>
        <v/>
      </c>
      <c r="F607">
        <f>IF(LOWER(C607)="covered", 10.40, 7.55)</f>
        <v/>
      </c>
      <c r="G607">
        <f>E607*F607</f>
        <v/>
      </c>
      <c r="H607" t="n">
        <v>385.05</v>
      </c>
      <c r="I607">
        <f>G607-H607</f>
        <v/>
      </c>
    </row>
    <row r="608">
      <c r="A608" t="inlineStr">
        <is>
          <t>EW-0713</t>
        </is>
      </c>
      <c r="B608" t="inlineStr">
        <is>
          <t>Eastwey</t>
        </is>
      </c>
      <c r="C608" t="inlineStr">
        <is>
          <t>open</t>
        </is>
      </c>
      <c r="D608" t="n">
        <v>32.3</v>
      </c>
      <c r="E608">
        <f>ROUNDUP(D608, 0)</f>
        <v/>
      </c>
      <c r="F608">
        <f>IF(LOWER(C608)="covered", 10.40, 7.55)</f>
        <v/>
      </c>
      <c r="G608">
        <f>E608*F608</f>
        <v/>
      </c>
      <c r="H608" t="n">
        <v>249.15</v>
      </c>
      <c r="I608">
        <f>G608-H608</f>
        <v/>
      </c>
    </row>
    <row r="609">
      <c r="A609" t="inlineStr">
        <is>
          <t>EW-0714</t>
        </is>
      </c>
      <c r="B609" t="inlineStr">
        <is>
          <t>Eastwey</t>
        </is>
      </c>
      <c r="C609" t="inlineStr">
        <is>
          <t>open</t>
        </is>
      </c>
      <c r="D609" t="n">
        <v>59.1</v>
      </c>
      <c r="E609">
        <f>ROUNDUP(D609, 0)</f>
        <v/>
      </c>
      <c r="F609">
        <f>IF(LOWER(C609)="covered", 10.40, 7.55)</f>
        <v/>
      </c>
      <c r="G609">
        <f>E609*F609</f>
        <v/>
      </c>
      <c r="H609" t="n">
        <v>453</v>
      </c>
      <c r="I609">
        <f>G609-H609</f>
        <v/>
      </c>
    </row>
    <row r="610">
      <c r="A610" t="inlineStr">
        <is>
          <t>EW-0715</t>
        </is>
      </c>
      <c r="B610" t="inlineStr">
        <is>
          <t>Eastwey</t>
        </is>
      </c>
      <c r="C610" t="inlineStr">
        <is>
          <t>open</t>
        </is>
      </c>
      <c r="D610" t="n">
        <v>49.1</v>
      </c>
      <c r="E610">
        <f>ROUNDUP(D610, 0)</f>
        <v/>
      </c>
      <c r="F610">
        <f>IF(LOWER(C610)="covered", 10.40, 7.55)</f>
        <v/>
      </c>
      <c r="G610">
        <f>E610*F610</f>
        <v/>
      </c>
      <c r="H610" t="n">
        <v>377.5</v>
      </c>
      <c r="I610">
        <f>G610-H610</f>
        <v/>
      </c>
    </row>
    <row r="611">
      <c r="A611" t="inlineStr">
        <is>
          <t>EW-0716</t>
        </is>
      </c>
      <c r="B611" t="inlineStr">
        <is>
          <t>Eastwey</t>
        </is>
      </c>
      <c r="C611" t="inlineStr">
        <is>
          <t>open</t>
        </is>
      </c>
      <c r="D611" t="n">
        <v>21.9</v>
      </c>
      <c r="E611">
        <f>ROUNDUP(D611, 0)</f>
        <v/>
      </c>
      <c r="F611">
        <f>IF(LOWER(C611)="covered", 10.40, 7.55)</f>
        <v/>
      </c>
      <c r="G611">
        <f>E611*F611</f>
        <v/>
      </c>
      <c r="H611" t="n">
        <v>211.4</v>
      </c>
      <c r="I611">
        <f>G611-H611</f>
        <v/>
      </c>
    </row>
    <row r="612">
      <c r="A612" t="inlineStr">
        <is>
          <t>EW-0717</t>
        </is>
      </c>
      <c r="B612" t="inlineStr">
        <is>
          <t>Eastwey</t>
        </is>
      </c>
      <c r="C612" t="inlineStr">
        <is>
          <t>open</t>
        </is>
      </c>
      <c r="D612" t="n">
        <v>39.5</v>
      </c>
      <c r="E612">
        <f>ROUNDUP(D612, 0)</f>
        <v/>
      </c>
      <c r="F612">
        <f>IF(LOWER(C612)="covered", 10.40, 7.55)</f>
        <v/>
      </c>
      <c r="G612">
        <f>E612*F612</f>
        <v/>
      </c>
      <c r="H612" t="n">
        <v>302</v>
      </c>
      <c r="I612">
        <f>G612-H612</f>
        <v/>
      </c>
    </row>
    <row r="613">
      <c r="A613" t="inlineStr">
        <is>
          <t>EW-0718</t>
        </is>
      </c>
      <c r="B613" t="inlineStr">
        <is>
          <t>Eastwey</t>
        </is>
      </c>
      <c r="C613" t="inlineStr">
        <is>
          <t>open</t>
        </is>
      </c>
      <c r="D613" t="n">
        <v>35.8</v>
      </c>
      <c r="E613">
        <f>ROUNDUP(D613, 0)</f>
        <v/>
      </c>
      <c r="F613">
        <f>IF(LOWER(C613)="covered", 10.40, 7.55)</f>
        <v/>
      </c>
      <c r="G613">
        <f>E613*F613</f>
        <v/>
      </c>
      <c r="H613" t="n">
        <v>453</v>
      </c>
      <c r="I613">
        <f>G613-H613</f>
        <v/>
      </c>
    </row>
    <row r="614">
      <c r="A614" t="inlineStr">
        <is>
          <t>EW-0719</t>
        </is>
      </c>
      <c r="B614" t="inlineStr">
        <is>
          <t>Eastwey</t>
        </is>
      </c>
      <c r="C614" t="inlineStr">
        <is>
          <t>open</t>
        </is>
      </c>
      <c r="D614" t="n">
        <v>51.1</v>
      </c>
      <c r="E614">
        <f>ROUNDUP(D614, 0)</f>
        <v/>
      </c>
      <c r="F614">
        <f>IF(LOWER(C614)="covered", 10.40, 7.55)</f>
        <v/>
      </c>
      <c r="G614">
        <f>E614*F614</f>
        <v/>
      </c>
      <c r="H614" t="n">
        <v>392.6</v>
      </c>
      <c r="I614">
        <f>G614-H614</f>
        <v/>
      </c>
    </row>
    <row r="615">
      <c r="A615" t="inlineStr">
        <is>
          <t>EW-0720</t>
        </is>
      </c>
      <c r="B615" t="inlineStr">
        <is>
          <t>Eastwey</t>
        </is>
      </c>
      <c r="C615" t="inlineStr">
        <is>
          <t>open</t>
        </is>
      </c>
      <c r="D615" t="n">
        <v>29.3</v>
      </c>
      <c r="E615">
        <f>ROUNDUP(D615, 0)</f>
        <v/>
      </c>
      <c r="F615">
        <f>IF(LOWER(C615)="covered", 10.40, 7.55)</f>
        <v/>
      </c>
      <c r="G615">
        <f>E615*F615</f>
        <v/>
      </c>
      <c r="H615" t="n">
        <v>302</v>
      </c>
      <c r="I615">
        <f>G615-H615</f>
        <v/>
      </c>
    </row>
    <row r="616">
      <c r="A616" t="inlineStr">
        <is>
          <t>EW-0721</t>
        </is>
      </c>
      <c r="B616" t="inlineStr">
        <is>
          <t>Eastwey</t>
        </is>
      </c>
      <c r="C616" t="inlineStr">
        <is>
          <t>open</t>
        </is>
      </c>
      <c r="D616" t="n">
        <v>46.9</v>
      </c>
      <c r="E616">
        <f>ROUNDUP(D616, 0)</f>
        <v/>
      </c>
      <c r="F616">
        <f>IF(LOWER(C616)="covered", 10.40, 7.55)</f>
        <v/>
      </c>
      <c r="G616">
        <f>E616*F616</f>
        <v/>
      </c>
      <c r="H616" t="n">
        <v>354.85</v>
      </c>
      <c r="I616">
        <f>G616-H616</f>
        <v/>
      </c>
    </row>
    <row r="617">
      <c r="A617" t="inlineStr">
        <is>
          <t>EW-0722</t>
        </is>
      </c>
      <c r="B617" t="inlineStr">
        <is>
          <t>Eastwey</t>
        </is>
      </c>
      <c r="C617" t="inlineStr">
        <is>
          <t>open</t>
        </is>
      </c>
      <c r="D617" t="n">
        <v>54.4</v>
      </c>
      <c r="E617">
        <f>ROUNDUP(D617, 0)</f>
        <v/>
      </c>
      <c r="F617">
        <f>IF(LOWER(C617)="covered", 10.40, 7.55)</f>
        <v/>
      </c>
      <c r="G617">
        <f>E617*F617</f>
        <v/>
      </c>
      <c r="H617" t="n">
        <v>415.25</v>
      </c>
      <c r="I617">
        <f>G617-H617</f>
        <v/>
      </c>
    </row>
    <row r="618">
      <c r="A618" t="inlineStr">
        <is>
          <t>EW-0723</t>
        </is>
      </c>
      <c r="B618" t="inlineStr">
        <is>
          <t>Eastwey</t>
        </is>
      </c>
      <c r="C618" t="inlineStr">
        <is>
          <t>open</t>
        </is>
      </c>
      <c r="D618" t="n">
        <v>53.3</v>
      </c>
      <c r="E618">
        <f>ROUNDUP(D618, 0)</f>
        <v/>
      </c>
      <c r="F618">
        <f>IF(LOWER(C618)="covered", 10.40, 7.55)</f>
        <v/>
      </c>
      <c r="G618">
        <f>E618*F618</f>
        <v/>
      </c>
      <c r="H618" t="n">
        <v>407.7</v>
      </c>
      <c r="I618">
        <f>G618-H618</f>
        <v/>
      </c>
    </row>
    <row r="619">
      <c r="A619" t="inlineStr">
        <is>
          <t>EW-0724</t>
        </is>
      </c>
      <c r="B619" t="inlineStr">
        <is>
          <t>Eastwey</t>
        </is>
      </c>
      <c r="C619" t="inlineStr">
        <is>
          <t>open</t>
        </is>
      </c>
      <c r="D619" t="n">
        <v>35.8</v>
      </c>
      <c r="E619">
        <f>ROUNDUP(D619, 0)</f>
        <v/>
      </c>
      <c r="F619">
        <f>IF(LOWER(C619)="covered", 10.40, 7.55)</f>
        <v/>
      </c>
      <c r="G619">
        <f>E619*F619</f>
        <v/>
      </c>
      <c r="H619" t="n">
        <v>528.5</v>
      </c>
      <c r="I619">
        <f>G619-H619</f>
        <v/>
      </c>
    </row>
    <row r="620">
      <c r="A620" t="inlineStr">
        <is>
          <t>EW-0801</t>
        </is>
      </c>
      <c r="B620" t="inlineStr">
        <is>
          <t>Eastwey</t>
        </is>
      </c>
      <c r="C620" t="inlineStr">
        <is>
          <t>open</t>
        </is>
      </c>
      <c r="D620" t="n">
        <v>22.3</v>
      </c>
      <c r="E620">
        <f>ROUNDUP(D620, 0)</f>
        <v/>
      </c>
      <c r="F620">
        <f>IF(LOWER(C620)="covered", 10.40, 7.55)</f>
        <v/>
      </c>
      <c r="G620">
        <f>E620*F620</f>
        <v/>
      </c>
      <c r="H620" t="n">
        <v>339.75</v>
      </c>
      <c r="I620">
        <f>G620-H620</f>
        <v/>
      </c>
    </row>
    <row r="621">
      <c r="A621" t="inlineStr">
        <is>
          <t>EW-0802</t>
        </is>
      </c>
      <c r="B621" t="inlineStr">
        <is>
          <t>Eastwey</t>
        </is>
      </c>
      <c r="C621" t="inlineStr">
        <is>
          <t>open</t>
        </is>
      </c>
      <c r="D621" t="n">
        <v>53.3</v>
      </c>
      <c r="E621">
        <f>ROUNDUP(D621, 0)</f>
        <v/>
      </c>
      <c r="F621">
        <f>IF(LOWER(C621)="covered", 10.40, 7.55)</f>
        <v/>
      </c>
      <c r="G621">
        <f>E621*F621</f>
        <v/>
      </c>
      <c r="H621" t="n">
        <v>528.5</v>
      </c>
      <c r="I621">
        <f>G621-H621</f>
        <v/>
      </c>
    </row>
    <row r="622">
      <c r="A622" t="inlineStr">
        <is>
          <t>EW-0803</t>
        </is>
      </c>
      <c r="B622" t="inlineStr">
        <is>
          <t>Eastwey</t>
        </is>
      </c>
      <c r="C622" t="inlineStr">
        <is>
          <t>open</t>
        </is>
      </c>
      <c r="D622" t="n">
        <v>56.4</v>
      </c>
      <c r="E622">
        <f>ROUNDUP(D622, 0)</f>
        <v/>
      </c>
      <c r="F622">
        <f>IF(LOWER(C622)="covered", 10.40, 7.55)</f>
        <v/>
      </c>
      <c r="G622">
        <f>E622*F622</f>
        <v/>
      </c>
      <c r="H622" t="n">
        <v>430.35</v>
      </c>
      <c r="I622">
        <f>G622-H622</f>
        <v/>
      </c>
    </row>
    <row r="623">
      <c r="A623" t="inlineStr">
        <is>
          <t>EW-0804</t>
        </is>
      </c>
      <c r="B623" t="inlineStr">
        <is>
          <t>Eastwey</t>
        </is>
      </c>
      <c r="C623" t="inlineStr">
        <is>
          <t>open</t>
        </is>
      </c>
      <c r="D623" t="n">
        <v>22.4</v>
      </c>
      <c r="E623">
        <f>ROUNDUP(D623, 0)</f>
        <v/>
      </c>
      <c r="F623">
        <f>IF(LOWER(C623)="covered", 10.40, 7.55)</f>
        <v/>
      </c>
      <c r="G623">
        <f>E623*F623</f>
        <v/>
      </c>
      <c r="H623" t="n">
        <v>241.6</v>
      </c>
      <c r="I623">
        <f>G623-H623</f>
        <v/>
      </c>
    </row>
    <row r="624">
      <c r="A624" t="inlineStr">
        <is>
          <t>EW-0805</t>
        </is>
      </c>
      <c r="B624" t="inlineStr">
        <is>
          <t>Eastwey</t>
        </is>
      </c>
      <c r="C624" t="inlineStr">
        <is>
          <t>open</t>
        </is>
      </c>
      <c r="D624" t="n">
        <v>59</v>
      </c>
      <c r="E624">
        <f>ROUNDUP(D624, 0)</f>
        <v/>
      </c>
      <c r="F624">
        <f>IF(LOWER(C624)="covered", 10.40, 7.55)</f>
        <v/>
      </c>
      <c r="G624">
        <f>E624*F624</f>
        <v/>
      </c>
      <c r="H624" t="n">
        <v>445.45</v>
      </c>
      <c r="I624">
        <f>G624-H624</f>
        <v/>
      </c>
    </row>
    <row r="625">
      <c r="A625" t="inlineStr">
        <is>
          <t>EW-0806</t>
        </is>
      </c>
      <c r="B625" t="inlineStr">
        <is>
          <t>Eastwey</t>
        </is>
      </c>
      <c r="C625" t="inlineStr">
        <is>
          <t>open</t>
        </is>
      </c>
      <c r="D625" t="n">
        <v>33.5</v>
      </c>
      <c r="E625">
        <f>ROUNDUP(D625, 0)</f>
        <v/>
      </c>
      <c r="F625">
        <f>IF(LOWER(C625)="covered", 10.40, 7.55)</f>
        <v/>
      </c>
      <c r="G625">
        <f>E625*F625</f>
        <v/>
      </c>
      <c r="H625" t="n">
        <v>271.8</v>
      </c>
      <c r="I625">
        <f>G625-H625</f>
        <v/>
      </c>
    </row>
    <row r="626">
      <c r="A626" t="inlineStr">
        <is>
          <t>EW-0807</t>
        </is>
      </c>
      <c r="B626" t="inlineStr">
        <is>
          <t>Eastwey</t>
        </is>
      </c>
      <c r="C626" t="inlineStr">
        <is>
          <t>open</t>
        </is>
      </c>
      <c r="D626" t="n">
        <v>29.3</v>
      </c>
      <c r="E626">
        <f>ROUNDUP(D626, 0)</f>
        <v/>
      </c>
      <c r="F626">
        <f>IF(LOWER(C626)="covered", 10.40, 7.55)</f>
        <v/>
      </c>
      <c r="G626">
        <f>E626*F626</f>
        <v/>
      </c>
      <c r="H626" t="n">
        <v>226.5</v>
      </c>
      <c r="I626">
        <f>G626-H626</f>
        <v/>
      </c>
    </row>
    <row r="627">
      <c r="A627" t="inlineStr">
        <is>
          <t>EW-0808</t>
        </is>
      </c>
      <c r="B627" t="inlineStr">
        <is>
          <t>Eastwey</t>
        </is>
      </c>
      <c r="C627" t="inlineStr">
        <is>
          <t>open</t>
        </is>
      </c>
      <c r="D627" t="n">
        <v>49.7</v>
      </c>
      <c r="E627">
        <f>ROUNDUP(D627, 0)</f>
        <v/>
      </c>
      <c r="F627">
        <f>IF(LOWER(C627)="covered", 10.40, 7.55)</f>
        <v/>
      </c>
      <c r="G627">
        <f>E627*F627</f>
        <v/>
      </c>
      <c r="H627" t="n">
        <v>604</v>
      </c>
      <c r="I627">
        <f>G627-H627</f>
        <v/>
      </c>
    </row>
    <row r="628">
      <c r="A628" t="inlineStr">
        <is>
          <t>EW-0809</t>
        </is>
      </c>
      <c r="B628" t="inlineStr">
        <is>
          <t>Eastwey</t>
        </is>
      </c>
      <c r="C628" t="inlineStr">
        <is>
          <t>open</t>
        </is>
      </c>
      <c r="D628" t="n">
        <v>58.3</v>
      </c>
      <c r="E628">
        <f>ROUNDUP(D628, 0)</f>
        <v/>
      </c>
      <c r="F628">
        <f>IF(LOWER(C628)="covered", 10.40, 7.55)</f>
        <v/>
      </c>
      <c r="G628">
        <f>E628*F628</f>
        <v/>
      </c>
      <c r="H628" t="n">
        <v>528.5</v>
      </c>
      <c r="I628">
        <f>G628-H628</f>
        <v/>
      </c>
    </row>
    <row r="629">
      <c r="A629" t="inlineStr">
        <is>
          <t>EW-0810</t>
        </is>
      </c>
      <c r="B629" t="inlineStr">
        <is>
          <t>Eastwey</t>
        </is>
      </c>
      <c r="C629" t="inlineStr">
        <is>
          <t>open</t>
        </is>
      </c>
      <c r="D629" t="n">
        <v>26.3</v>
      </c>
      <c r="E629">
        <f>ROUNDUP(D629, 0)</f>
        <v/>
      </c>
      <c r="F629">
        <f>IF(LOWER(C629)="covered", 10.40, 7.55)</f>
        <v/>
      </c>
      <c r="G629">
        <f>E629*F629</f>
        <v/>
      </c>
      <c r="H629" t="n">
        <v>211.4</v>
      </c>
      <c r="I629">
        <f>G629-H629</f>
        <v/>
      </c>
    </row>
    <row r="630">
      <c r="A630" t="inlineStr">
        <is>
          <t>EW-0811</t>
        </is>
      </c>
      <c r="B630" t="inlineStr">
        <is>
          <t>Eastwey</t>
        </is>
      </c>
      <c r="C630" t="inlineStr">
        <is>
          <t>open</t>
        </is>
      </c>
      <c r="D630" t="n">
        <v>61</v>
      </c>
      <c r="E630">
        <f>ROUNDUP(D630, 0)</f>
        <v/>
      </c>
      <c r="F630">
        <f>IF(LOWER(C630)="covered", 10.40, 7.55)</f>
        <v/>
      </c>
      <c r="G630">
        <f>E630*F630</f>
        <v/>
      </c>
      <c r="H630" t="n">
        <v>528.5</v>
      </c>
      <c r="I630">
        <f>G630-H630</f>
        <v/>
      </c>
    </row>
    <row r="631">
      <c r="A631" t="inlineStr">
        <is>
          <t>EW-0812</t>
        </is>
      </c>
      <c r="B631" t="inlineStr">
        <is>
          <t>Eastwey</t>
        </is>
      </c>
      <c r="C631" t="inlineStr">
        <is>
          <t>open</t>
        </is>
      </c>
      <c r="D631" t="n">
        <v>26.4</v>
      </c>
      <c r="E631">
        <f>ROUNDUP(D631, 0)</f>
        <v/>
      </c>
      <c r="F631">
        <f>IF(LOWER(C631)="covered", 10.40, 7.55)</f>
        <v/>
      </c>
      <c r="G631">
        <f>E631*F631</f>
        <v/>
      </c>
      <c r="H631" t="n">
        <v>211.4</v>
      </c>
      <c r="I631">
        <f>G631-H631</f>
        <v/>
      </c>
    </row>
    <row r="632">
      <c r="A632" t="inlineStr">
        <is>
          <t>EW-0813</t>
        </is>
      </c>
      <c r="B632" t="inlineStr">
        <is>
          <t>Eastwey</t>
        </is>
      </c>
      <c r="C632" t="inlineStr">
        <is>
          <t>open</t>
        </is>
      </c>
      <c r="D632" t="n">
        <v>54.3</v>
      </c>
      <c r="E632">
        <f>ROUNDUP(D632, 0)</f>
        <v/>
      </c>
      <c r="F632">
        <f>IF(LOWER(C632)="covered", 10.40, 7.55)</f>
        <v/>
      </c>
      <c r="G632">
        <f>E632*F632</f>
        <v/>
      </c>
      <c r="H632" t="n">
        <v>415.25</v>
      </c>
      <c r="I632">
        <f>G632-H632</f>
        <v/>
      </c>
    </row>
    <row r="633">
      <c r="A633" t="inlineStr">
        <is>
          <t>EW-0814</t>
        </is>
      </c>
      <c r="B633" t="inlineStr">
        <is>
          <t>Eastwey</t>
        </is>
      </c>
      <c r="C633" t="inlineStr">
        <is>
          <t>open</t>
        </is>
      </c>
      <c r="D633" t="n">
        <v>30.1</v>
      </c>
      <c r="E633">
        <f>ROUNDUP(D633, 0)</f>
        <v/>
      </c>
      <c r="F633">
        <f>IF(LOWER(C633)="covered", 10.40, 7.55)</f>
        <v/>
      </c>
      <c r="G633">
        <f>E633*F633</f>
        <v/>
      </c>
      <c r="H633" t="n">
        <v>302</v>
      </c>
      <c r="I633">
        <f>G633-H633</f>
        <v/>
      </c>
    </row>
    <row r="634">
      <c r="A634" t="inlineStr">
        <is>
          <t>EW-0815</t>
        </is>
      </c>
      <c r="B634" t="inlineStr">
        <is>
          <t>Eastwey</t>
        </is>
      </c>
      <c r="C634" t="inlineStr">
        <is>
          <t>open</t>
        </is>
      </c>
      <c r="D634" t="n">
        <v>41.7</v>
      </c>
      <c r="E634">
        <f>ROUNDUP(D634, 0)</f>
        <v/>
      </c>
      <c r="F634">
        <f>IF(LOWER(C634)="covered", 10.40, 7.55)</f>
        <v/>
      </c>
      <c r="G634">
        <f>E634*F634</f>
        <v/>
      </c>
      <c r="H634" t="n">
        <v>377.5</v>
      </c>
      <c r="I634">
        <f>G634-H634</f>
        <v/>
      </c>
    </row>
    <row r="635">
      <c r="A635" t="inlineStr">
        <is>
          <t>EW-0816</t>
        </is>
      </c>
      <c r="B635" t="inlineStr">
        <is>
          <t>Eastwey</t>
        </is>
      </c>
      <c r="C635" t="inlineStr">
        <is>
          <t>open</t>
        </is>
      </c>
      <c r="D635" t="n">
        <v>39.4</v>
      </c>
      <c r="E635">
        <f>ROUNDUP(D635, 0)</f>
        <v/>
      </c>
      <c r="F635">
        <f>IF(LOWER(C635)="covered", 10.40, 7.55)</f>
        <v/>
      </c>
      <c r="G635">
        <f>E635*F635</f>
        <v/>
      </c>
      <c r="H635" t="n">
        <v>604</v>
      </c>
      <c r="I635">
        <f>G635-H635</f>
        <v/>
      </c>
    </row>
    <row r="636">
      <c r="A636" t="inlineStr">
        <is>
          <t>EW-0817</t>
        </is>
      </c>
      <c r="B636" t="inlineStr">
        <is>
          <t>Eastwey</t>
        </is>
      </c>
      <c r="C636" t="inlineStr">
        <is>
          <t>open</t>
        </is>
      </c>
      <c r="D636" t="n">
        <v>35.5</v>
      </c>
      <c r="E636">
        <f>ROUNDUP(D636, 0)</f>
        <v/>
      </c>
      <c r="F636">
        <f>IF(LOWER(C636)="covered", 10.40, 7.55)</f>
        <v/>
      </c>
      <c r="G636">
        <f>E636*F636</f>
        <v/>
      </c>
      <c r="H636" t="n">
        <v>271.8</v>
      </c>
      <c r="I636">
        <f>G636-H636</f>
        <v/>
      </c>
    </row>
    <row r="637">
      <c r="A637" t="inlineStr">
        <is>
          <t>EW-0818</t>
        </is>
      </c>
      <c r="B637" t="inlineStr">
        <is>
          <t>Eastwey</t>
        </is>
      </c>
      <c r="C637" t="inlineStr">
        <is>
          <t>open</t>
        </is>
      </c>
      <c r="D637" t="n">
        <v>54.1</v>
      </c>
      <c r="E637">
        <f>ROUNDUP(D637, 0)</f>
        <v/>
      </c>
      <c r="F637">
        <f>IF(LOWER(C637)="covered", 10.40, 7.55)</f>
        <v/>
      </c>
      <c r="G637">
        <f>E637*F637</f>
        <v/>
      </c>
      <c r="H637" t="n">
        <v>415.25</v>
      </c>
      <c r="I637">
        <f>G637-H637</f>
        <v/>
      </c>
    </row>
    <row r="638">
      <c r="A638" t="inlineStr">
        <is>
          <t>EW-0819</t>
        </is>
      </c>
      <c r="B638" t="inlineStr">
        <is>
          <t>Eastwey</t>
        </is>
      </c>
      <c r="C638" t="inlineStr">
        <is>
          <t>open</t>
        </is>
      </c>
      <c r="D638" t="n">
        <v>35</v>
      </c>
      <c r="E638">
        <f>ROUNDUP(D638, 0)</f>
        <v/>
      </c>
      <c r="F638">
        <f>IF(LOWER(C638)="covered", 10.40, 7.55)</f>
        <v/>
      </c>
      <c r="G638">
        <f>E638*F638</f>
        <v/>
      </c>
      <c r="H638" t="n">
        <v>264.25</v>
      </c>
      <c r="I638">
        <f>G638-H638</f>
        <v/>
      </c>
    </row>
    <row r="639">
      <c r="A639" t="inlineStr">
        <is>
          <t>EW-0821</t>
        </is>
      </c>
      <c r="B639" t="inlineStr">
        <is>
          <t>Eastwey</t>
        </is>
      </c>
      <c r="C639" t="inlineStr">
        <is>
          <t>open</t>
        </is>
      </c>
      <c r="D639" t="n">
        <v>28.5</v>
      </c>
      <c r="E639">
        <f>ROUNDUP(D639, 0)</f>
        <v/>
      </c>
      <c r="F639">
        <f>IF(LOWER(C639)="covered", 10.40, 7.55)</f>
        <v/>
      </c>
      <c r="G639">
        <f>E639*F639</f>
        <v/>
      </c>
      <c r="H639" t="n">
        <v>302</v>
      </c>
      <c r="I639">
        <f>G639-H639</f>
        <v/>
      </c>
    </row>
    <row r="640">
      <c r="A640" t="inlineStr">
        <is>
          <t>EW-0822</t>
        </is>
      </c>
      <c r="B640" t="inlineStr">
        <is>
          <t>Eastwey</t>
        </is>
      </c>
      <c r="C640" t="inlineStr">
        <is>
          <t>open</t>
        </is>
      </c>
      <c r="D640" t="n">
        <v>49.9</v>
      </c>
      <c r="E640">
        <f>ROUNDUP(D640, 0)</f>
        <v/>
      </c>
      <c r="F640">
        <f>IF(LOWER(C640)="covered", 10.40, 7.55)</f>
        <v/>
      </c>
      <c r="G640">
        <f>E640*F640</f>
        <v/>
      </c>
      <c r="H640" t="n">
        <v>453</v>
      </c>
      <c r="I640">
        <f>G640-H640</f>
        <v/>
      </c>
    </row>
    <row r="641">
      <c r="A641" t="inlineStr">
        <is>
          <t>EW-0823</t>
        </is>
      </c>
      <c r="B641" t="inlineStr">
        <is>
          <t>Eastwey</t>
        </is>
      </c>
      <c r="C641" t="inlineStr">
        <is>
          <t>open</t>
        </is>
      </c>
      <c r="D641" t="n">
        <v>54.2</v>
      </c>
      <c r="E641">
        <f>ROUNDUP(D641, 0)</f>
        <v/>
      </c>
      <c r="F641">
        <f>IF(LOWER(C641)="covered", 10.40, 7.55)</f>
        <v/>
      </c>
      <c r="G641">
        <f>E641*F641</f>
        <v/>
      </c>
      <c r="H641" t="n">
        <v>415.25</v>
      </c>
      <c r="I641">
        <f>G641-H641</f>
        <v/>
      </c>
    </row>
    <row r="642">
      <c r="A642" t="inlineStr">
        <is>
          <t>EW-0901</t>
        </is>
      </c>
      <c r="B642" t="inlineStr">
        <is>
          <t>Eastwey</t>
        </is>
      </c>
      <c r="C642" t="inlineStr">
        <is>
          <t>open</t>
        </is>
      </c>
      <c r="D642" t="n">
        <v>37.9</v>
      </c>
      <c r="E642">
        <f>ROUNDUP(D642, 0)</f>
        <v/>
      </c>
      <c r="F642">
        <f>IF(LOWER(C642)="covered", 10.40, 7.55)</f>
        <v/>
      </c>
      <c r="G642">
        <f>E642*F642</f>
        <v/>
      </c>
      <c r="H642" t="n">
        <v>286.9</v>
      </c>
      <c r="I642">
        <f>G642-H642</f>
        <v/>
      </c>
    </row>
    <row r="643">
      <c r="A643" t="inlineStr">
        <is>
          <t>EW-0902</t>
        </is>
      </c>
      <c r="B643" t="inlineStr">
        <is>
          <t>Eastwey</t>
        </is>
      </c>
      <c r="C643" t="inlineStr">
        <is>
          <t>open</t>
        </is>
      </c>
      <c r="D643" t="n">
        <v>46.8</v>
      </c>
      <c r="E643">
        <f>ROUNDUP(D643, 0)</f>
        <v/>
      </c>
      <c r="F643">
        <f>IF(LOWER(C643)="covered", 10.40, 7.55)</f>
        <v/>
      </c>
      <c r="G643">
        <f>E643*F643</f>
        <v/>
      </c>
      <c r="H643" t="n">
        <v>604</v>
      </c>
      <c r="I643">
        <f>G643-H643</f>
        <v/>
      </c>
    </row>
    <row r="644">
      <c r="A644" t="inlineStr">
        <is>
          <t>EW-0903</t>
        </is>
      </c>
      <c r="B644" t="inlineStr">
        <is>
          <t>Eastwey</t>
        </is>
      </c>
      <c r="C644" t="inlineStr">
        <is>
          <t>open</t>
        </is>
      </c>
      <c r="D644" t="n">
        <v>26.2</v>
      </c>
      <c r="E644">
        <f>ROUNDUP(D644, 0)</f>
        <v/>
      </c>
      <c r="F644">
        <f>IF(LOWER(C644)="covered", 10.40, 7.55)</f>
        <v/>
      </c>
      <c r="G644">
        <f>E644*F644</f>
        <v/>
      </c>
      <c r="H644" t="n">
        <v>203.85</v>
      </c>
      <c r="I644">
        <f>G644-H644</f>
        <v/>
      </c>
    </row>
    <row r="645">
      <c r="A645" t="inlineStr">
        <is>
          <t>EW-0904</t>
        </is>
      </c>
      <c r="B645" t="inlineStr">
        <is>
          <t>Eastwey</t>
        </is>
      </c>
      <c r="C645" t="inlineStr">
        <is>
          <t>open</t>
        </is>
      </c>
      <c r="D645" t="n">
        <v>38.3</v>
      </c>
      <c r="E645">
        <f>ROUNDUP(D645, 0)</f>
        <v/>
      </c>
      <c r="F645">
        <f>IF(LOWER(C645)="covered", 10.40, 7.55)</f>
        <v/>
      </c>
      <c r="G645">
        <f>E645*F645</f>
        <v/>
      </c>
      <c r="H645" t="n">
        <v>339.75</v>
      </c>
      <c r="I645">
        <f>G645-H645</f>
        <v/>
      </c>
    </row>
    <row r="646">
      <c r="A646" t="inlineStr">
        <is>
          <t>EW-0905</t>
        </is>
      </c>
      <c r="B646" t="inlineStr">
        <is>
          <t>Eastwey</t>
        </is>
      </c>
      <c r="C646" t="inlineStr">
        <is>
          <t>open</t>
        </is>
      </c>
      <c r="D646" t="n">
        <v>47</v>
      </c>
      <c r="E646">
        <f>ROUNDUP(D646, 0)</f>
        <v/>
      </c>
      <c r="F646">
        <f>IF(LOWER(C646)="covered", 10.40, 7.55)</f>
        <v/>
      </c>
      <c r="G646">
        <f>E646*F646</f>
        <v/>
      </c>
      <c r="H646" t="n">
        <v>354.85</v>
      </c>
      <c r="I646">
        <f>G646-H646</f>
        <v/>
      </c>
    </row>
    <row r="647">
      <c r="A647" t="inlineStr">
        <is>
          <t>EW-0906</t>
        </is>
      </c>
      <c r="B647" t="inlineStr">
        <is>
          <t>Eastwey</t>
        </is>
      </c>
      <c r="C647" t="inlineStr">
        <is>
          <t>open</t>
        </is>
      </c>
      <c r="D647" t="n">
        <v>58.9</v>
      </c>
      <c r="E647">
        <f>ROUNDUP(D647, 0)</f>
        <v/>
      </c>
      <c r="F647">
        <f>IF(LOWER(C647)="covered", 10.40, 7.55)</f>
        <v/>
      </c>
      <c r="G647">
        <f>E647*F647</f>
        <v/>
      </c>
      <c r="H647" t="n">
        <v>604</v>
      </c>
      <c r="I647">
        <f>G647-H647</f>
        <v/>
      </c>
    </row>
    <row r="648">
      <c r="A648" t="inlineStr">
        <is>
          <t>EW-0907</t>
        </is>
      </c>
      <c r="B648" t="inlineStr">
        <is>
          <t>Eastwey</t>
        </is>
      </c>
      <c r="C648" t="inlineStr">
        <is>
          <t>open</t>
        </is>
      </c>
      <c r="D648" t="n">
        <v>52</v>
      </c>
      <c r="E648">
        <f>ROUNDUP(D648, 0)</f>
        <v/>
      </c>
      <c r="F648">
        <f>IF(LOWER(C648)="covered", 10.40, 7.55)</f>
        <v/>
      </c>
      <c r="G648">
        <f>E648*F648</f>
        <v/>
      </c>
      <c r="H648" t="n">
        <v>392.6</v>
      </c>
      <c r="I648">
        <f>G648-H648</f>
        <v/>
      </c>
    </row>
    <row r="649">
      <c r="A649" t="inlineStr">
        <is>
          <t>EW-0908</t>
        </is>
      </c>
      <c r="B649" t="inlineStr">
        <is>
          <t>Eastwey</t>
        </is>
      </c>
      <c r="C649" t="inlineStr">
        <is>
          <t>open</t>
        </is>
      </c>
      <c r="D649" t="n">
        <v>34.8</v>
      </c>
      <c r="E649">
        <f>ROUNDUP(D649, 0)</f>
        <v/>
      </c>
      <c r="F649">
        <f>IF(LOWER(C649)="covered", 10.40, 7.55)</f>
        <v/>
      </c>
      <c r="G649">
        <f>E649*F649</f>
        <v/>
      </c>
      <c r="H649" t="n">
        <v>302</v>
      </c>
      <c r="I649">
        <f>G649-H649</f>
        <v/>
      </c>
    </row>
    <row r="650">
      <c r="A650" t="inlineStr">
        <is>
          <t>EW-0909</t>
        </is>
      </c>
      <c r="B650" t="inlineStr">
        <is>
          <t>Eastwey</t>
        </is>
      </c>
      <c r="C650" t="inlineStr">
        <is>
          <t>open</t>
        </is>
      </c>
      <c r="D650" t="n">
        <v>24.6</v>
      </c>
      <c r="E650">
        <f>ROUNDUP(D650, 0)</f>
        <v/>
      </c>
      <c r="F650">
        <f>IF(LOWER(C650)="covered", 10.40, 7.55)</f>
        <v/>
      </c>
      <c r="G650">
        <f>E650*F650</f>
        <v/>
      </c>
      <c r="H650" t="n">
        <v>339.75</v>
      </c>
      <c r="I650">
        <f>G650-H650</f>
        <v/>
      </c>
    </row>
    <row r="651">
      <c r="A651" t="inlineStr">
        <is>
          <t>EW-0910</t>
        </is>
      </c>
      <c r="B651" t="inlineStr">
        <is>
          <t>Eastwey</t>
        </is>
      </c>
      <c r="C651" t="inlineStr">
        <is>
          <t>open</t>
        </is>
      </c>
      <c r="D651" t="n">
        <v>53.7</v>
      </c>
      <c r="E651">
        <f>ROUNDUP(D651, 0)</f>
        <v/>
      </c>
      <c r="F651">
        <f>IF(LOWER(C651)="covered", 10.40, 7.55)</f>
        <v/>
      </c>
      <c r="G651">
        <f>E651*F651</f>
        <v/>
      </c>
      <c r="H651" t="n">
        <v>528.5</v>
      </c>
      <c r="I651">
        <f>G651-H651</f>
        <v/>
      </c>
    </row>
    <row r="652">
      <c r="A652" t="inlineStr">
        <is>
          <t>EW-0911</t>
        </is>
      </c>
      <c r="B652" t="inlineStr">
        <is>
          <t>Eastwey</t>
        </is>
      </c>
      <c r="C652" t="inlineStr">
        <is>
          <t>open</t>
        </is>
      </c>
      <c r="D652" t="n">
        <v>24</v>
      </c>
      <c r="E652">
        <f>ROUNDUP(D652, 0)</f>
        <v/>
      </c>
      <c r="F652">
        <f>IF(LOWER(C652)="covered", 10.40, 7.55)</f>
        <v/>
      </c>
      <c r="G652">
        <f>E652*F652</f>
        <v/>
      </c>
      <c r="H652" t="n">
        <v>453</v>
      </c>
      <c r="I652">
        <f>G652-H652</f>
        <v/>
      </c>
    </row>
    <row r="653">
      <c r="A653" t="inlineStr">
        <is>
          <t>EW-0912</t>
        </is>
      </c>
      <c r="B653" t="inlineStr">
        <is>
          <t>Eastwey</t>
        </is>
      </c>
      <c r="C653" t="inlineStr">
        <is>
          <t>open</t>
        </is>
      </c>
      <c r="D653" t="n">
        <v>47.4</v>
      </c>
      <c r="E653">
        <f>ROUNDUP(D653, 0)</f>
        <v/>
      </c>
      <c r="F653">
        <f>IF(LOWER(C653)="covered", 10.40, 7.55)</f>
        <v/>
      </c>
      <c r="G653">
        <f>E653*F653</f>
        <v/>
      </c>
      <c r="H653" t="n">
        <v>528.5</v>
      </c>
      <c r="I653">
        <f>G653-H653</f>
        <v/>
      </c>
    </row>
    <row r="654">
      <c r="A654" t="inlineStr">
        <is>
          <t>EW-0913</t>
        </is>
      </c>
      <c r="B654" t="inlineStr">
        <is>
          <t>Eastwey</t>
        </is>
      </c>
      <c r="C654" t="inlineStr">
        <is>
          <t>open</t>
        </is>
      </c>
      <c r="D654" t="n">
        <v>47.2</v>
      </c>
      <c r="E654">
        <f>ROUNDUP(D654, 0)</f>
        <v/>
      </c>
      <c r="F654">
        <f>IF(LOWER(C654)="covered", 10.40, 7.55)</f>
        <v/>
      </c>
      <c r="G654">
        <f>E654*F654</f>
        <v/>
      </c>
      <c r="H654" t="n">
        <v>362.4</v>
      </c>
      <c r="I654">
        <f>G654-H654</f>
        <v/>
      </c>
    </row>
    <row r="655">
      <c r="A655" t="inlineStr">
        <is>
          <t>EW-0914</t>
        </is>
      </c>
      <c r="B655" t="inlineStr">
        <is>
          <t>Eastwey</t>
        </is>
      </c>
      <c r="C655" t="inlineStr">
        <is>
          <t>open</t>
        </is>
      </c>
      <c r="D655" t="n">
        <v>25.3</v>
      </c>
      <c r="E655">
        <f>ROUNDUP(D655, 0)</f>
        <v/>
      </c>
      <c r="F655">
        <f>IF(LOWER(C655)="covered", 10.40, 7.55)</f>
        <v/>
      </c>
      <c r="G655">
        <f>E655*F655</f>
        <v/>
      </c>
      <c r="H655" t="n">
        <v>211.4</v>
      </c>
      <c r="I655">
        <f>G655-H655</f>
        <v/>
      </c>
    </row>
    <row r="656">
      <c r="A656" t="inlineStr">
        <is>
          <t>EW-0915</t>
        </is>
      </c>
      <c r="B656" t="inlineStr">
        <is>
          <t>Eastwey</t>
        </is>
      </c>
      <c r="C656" t="inlineStr">
        <is>
          <t>open</t>
        </is>
      </c>
      <c r="D656" t="n">
        <v>49.5</v>
      </c>
      <c r="E656">
        <f>ROUNDUP(D656, 0)</f>
        <v/>
      </c>
      <c r="F656">
        <f>IF(LOWER(C656)="covered", 10.40, 7.55)</f>
        <v/>
      </c>
      <c r="G656">
        <f>E656*F656</f>
        <v/>
      </c>
      <c r="H656" t="n">
        <v>377.5</v>
      </c>
      <c r="I656">
        <f>G656-H656</f>
        <v/>
      </c>
    </row>
    <row r="657">
      <c r="A657" t="inlineStr">
        <is>
          <t>EW-0916</t>
        </is>
      </c>
      <c r="B657" t="inlineStr">
        <is>
          <t>Eastwey</t>
        </is>
      </c>
      <c r="C657" t="inlineStr">
        <is>
          <t>open</t>
        </is>
      </c>
      <c r="D657" t="n">
        <v>53.1</v>
      </c>
      <c r="E657">
        <f>ROUNDUP(D657, 0)</f>
        <v/>
      </c>
      <c r="F657">
        <f>IF(LOWER(C657)="covered", 10.40, 7.55)</f>
        <v/>
      </c>
      <c r="G657">
        <f>E657*F657</f>
        <v/>
      </c>
      <c r="H657" t="n">
        <v>407.7</v>
      </c>
      <c r="I657">
        <f>G657-H657</f>
        <v/>
      </c>
    </row>
    <row r="658">
      <c r="A658" t="inlineStr">
        <is>
          <t>EW-0917</t>
        </is>
      </c>
      <c r="B658" t="inlineStr">
        <is>
          <t>Eastwey</t>
        </is>
      </c>
      <c r="C658" t="inlineStr">
        <is>
          <t>open</t>
        </is>
      </c>
      <c r="D658" t="n">
        <v>48.6</v>
      </c>
      <c r="E658">
        <f>ROUNDUP(D658, 0)</f>
        <v/>
      </c>
      <c r="F658">
        <f>IF(LOWER(C658)="covered", 10.40, 7.55)</f>
        <v/>
      </c>
      <c r="G658">
        <f>E658*F658</f>
        <v/>
      </c>
      <c r="H658" t="n">
        <v>369.95</v>
      </c>
      <c r="I658">
        <f>G658-H658</f>
        <v/>
      </c>
    </row>
    <row r="659">
      <c r="A659" t="inlineStr">
        <is>
          <t>EW-0918</t>
        </is>
      </c>
      <c r="B659" t="inlineStr">
        <is>
          <t>Eastwey</t>
        </is>
      </c>
      <c r="C659" t="inlineStr">
        <is>
          <t>open</t>
        </is>
      </c>
      <c r="D659" t="n">
        <v>29.8</v>
      </c>
      <c r="E659">
        <f>ROUNDUP(D659, 0)</f>
        <v/>
      </c>
      <c r="F659">
        <f>IF(LOWER(C659)="covered", 10.40, 7.55)</f>
        <v/>
      </c>
      <c r="G659">
        <f>E659*F659</f>
        <v/>
      </c>
      <c r="H659" t="n">
        <v>226.5</v>
      </c>
      <c r="I659">
        <f>G659-H659</f>
        <v/>
      </c>
    </row>
    <row r="660">
      <c r="A660" t="inlineStr">
        <is>
          <t>EW-0919</t>
        </is>
      </c>
      <c r="B660" t="inlineStr">
        <is>
          <t>Eastwey</t>
        </is>
      </c>
      <c r="C660" t="inlineStr">
        <is>
          <t>open</t>
        </is>
      </c>
      <c r="D660" t="n">
        <v>61.3</v>
      </c>
      <c r="E660">
        <f>ROUNDUP(D660, 0)</f>
        <v/>
      </c>
      <c r="F660">
        <f>IF(LOWER(C660)="covered", 10.40, 7.55)</f>
        <v/>
      </c>
      <c r="G660">
        <f>E660*F660</f>
        <v/>
      </c>
      <c r="H660" t="n">
        <v>468.1</v>
      </c>
      <c r="I660">
        <f>G660-H660</f>
        <v/>
      </c>
    </row>
    <row r="661">
      <c r="A661" t="inlineStr">
        <is>
          <t>EW-0920</t>
        </is>
      </c>
      <c r="B661" t="inlineStr">
        <is>
          <t>Eastwey</t>
        </is>
      </c>
      <c r="C661" t="inlineStr">
        <is>
          <t>open</t>
        </is>
      </c>
      <c r="D661" t="n">
        <v>51.4</v>
      </c>
      <c r="E661">
        <f>ROUNDUP(D661, 0)</f>
        <v/>
      </c>
      <c r="F661">
        <f>IF(LOWER(C661)="covered", 10.40, 7.55)</f>
        <v/>
      </c>
      <c r="G661">
        <f>E661*F661</f>
        <v/>
      </c>
      <c r="H661" t="n">
        <v>392.6</v>
      </c>
      <c r="I661">
        <f>G661-H661</f>
        <v/>
      </c>
    </row>
    <row r="662">
      <c r="A662" t="inlineStr">
        <is>
          <t>EW-0921</t>
        </is>
      </c>
      <c r="B662" t="inlineStr">
        <is>
          <t>Eastwey</t>
        </is>
      </c>
      <c r="C662" t="inlineStr">
        <is>
          <t>open</t>
        </is>
      </c>
      <c r="D662" t="n">
        <v>61.9</v>
      </c>
      <c r="E662">
        <f>ROUNDUP(D662, 0)</f>
        <v/>
      </c>
      <c r="F662">
        <f>IF(LOWER(C662)="covered", 10.40, 7.55)</f>
        <v/>
      </c>
      <c r="G662">
        <f>E662*F662</f>
        <v/>
      </c>
      <c r="H662" t="n">
        <v>468.1</v>
      </c>
      <c r="I662">
        <f>G662-H662</f>
        <v/>
      </c>
    </row>
    <row r="663">
      <c r="A663" t="inlineStr">
        <is>
          <t>EW-0922</t>
        </is>
      </c>
      <c r="B663" t="inlineStr">
        <is>
          <t>Eastwey</t>
        </is>
      </c>
      <c r="C663" t="inlineStr">
        <is>
          <t>open</t>
        </is>
      </c>
      <c r="D663" t="n">
        <v>26.2</v>
      </c>
      <c r="E663">
        <f>ROUNDUP(D663, 0)</f>
        <v/>
      </c>
      <c r="F663">
        <f>IF(LOWER(C663)="covered", 10.40, 7.55)</f>
        <v/>
      </c>
      <c r="G663">
        <f>E663*F663</f>
        <v/>
      </c>
      <c r="H663" t="n">
        <v>211.4</v>
      </c>
      <c r="I663">
        <f>G663-H663</f>
        <v/>
      </c>
    </row>
    <row r="664">
      <c r="A664" t="inlineStr">
        <is>
          <t>EW-0923</t>
        </is>
      </c>
      <c r="B664" t="inlineStr">
        <is>
          <t>Eastwey</t>
        </is>
      </c>
      <c r="C664" t="inlineStr">
        <is>
          <t>open</t>
        </is>
      </c>
      <c r="D664" t="n">
        <v>40.6</v>
      </c>
      <c r="E664">
        <f>ROUNDUP(D664, 0)</f>
        <v/>
      </c>
      <c r="F664">
        <f>IF(LOWER(C664)="covered", 10.40, 7.55)</f>
        <v/>
      </c>
      <c r="G664">
        <f>E664*F664</f>
        <v/>
      </c>
      <c r="H664" t="n">
        <v>309.55</v>
      </c>
      <c r="I664">
        <f>G664-H664</f>
        <v/>
      </c>
    </row>
    <row r="665">
      <c r="A665" t="inlineStr">
        <is>
          <t>EW-1001</t>
        </is>
      </c>
      <c r="B665" t="inlineStr">
        <is>
          <t>Eastwey</t>
        </is>
      </c>
      <c r="C665" t="inlineStr">
        <is>
          <t>open</t>
        </is>
      </c>
      <c r="D665" t="n">
        <v>59.5</v>
      </c>
      <c r="E665">
        <f>ROUNDUP(D665, 0)</f>
        <v/>
      </c>
      <c r="F665">
        <f>IF(LOWER(C665)="covered", 10.40, 7.55)</f>
        <v/>
      </c>
      <c r="G665">
        <f>E665*F665</f>
        <v/>
      </c>
      <c r="H665" t="n">
        <v>453</v>
      </c>
      <c r="I665">
        <f>G665-H665</f>
        <v/>
      </c>
    </row>
    <row r="666">
      <c r="A666" t="inlineStr">
        <is>
          <t>EW-1002</t>
        </is>
      </c>
      <c r="B666" t="inlineStr">
        <is>
          <t>Eastwey</t>
        </is>
      </c>
      <c r="C666" t="inlineStr">
        <is>
          <t>open</t>
        </is>
      </c>
      <c r="D666" t="n">
        <v>26.7</v>
      </c>
      <c r="E666">
        <f>ROUNDUP(D666, 0)</f>
        <v/>
      </c>
      <c r="F666">
        <f>IF(LOWER(C666)="covered", 10.40, 7.55)</f>
        <v/>
      </c>
      <c r="G666">
        <f>E666*F666</f>
        <v/>
      </c>
      <c r="H666" t="n">
        <v>211.4</v>
      </c>
      <c r="I666">
        <f>G666-H666</f>
        <v/>
      </c>
    </row>
    <row r="667">
      <c r="A667" t="inlineStr">
        <is>
          <t>EW-1003</t>
        </is>
      </c>
      <c r="B667" t="inlineStr">
        <is>
          <t>Eastwey</t>
        </is>
      </c>
      <c r="C667" t="inlineStr">
        <is>
          <t>open</t>
        </is>
      </c>
      <c r="D667" t="n">
        <v>34.4</v>
      </c>
      <c r="E667">
        <f>ROUNDUP(D667, 0)</f>
        <v/>
      </c>
      <c r="F667">
        <f>IF(LOWER(C667)="covered", 10.40, 7.55)</f>
        <v/>
      </c>
      <c r="G667">
        <f>E667*F667</f>
        <v/>
      </c>
      <c r="H667" t="n">
        <v>302</v>
      </c>
      <c r="I667">
        <f>G667-H667</f>
        <v/>
      </c>
    </row>
    <row r="668">
      <c r="A668" t="inlineStr">
        <is>
          <t>EW-1005</t>
        </is>
      </c>
      <c r="B668" t="inlineStr">
        <is>
          <t>Eastwey</t>
        </is>
      </c>
      <c r="C668" t="inlineStr">
        <is>
          <t>open</t>
        </is>
      </c>
      <c r="D668" t="n">
        <v>26.5</v>
      </c>
      <c r="E668">
        <f>ROUNDUP(D668, 0)</f>
        <v/>
      </c>
      <c r="F668">
        <f>IF(LOWER(C668)="covered", 10.40, 7.55)</f>
        <v/>
      </c>
      <c r="G668">
        <f>E668*F668</f>
        <v/>
      </c>
      <c r="H668" t="n">
        <v>241.6</v>
      </c>
      <c r="I668">
        <f>G668-H668</f>
        <v/>
      </c>
    </row>
    <row r="669">
      <c r="A669" t="inlineStr">
        <is>
          <t>EW-1007</t>
        </is>
      </c>
      <c r="B669" t="inlineStr">
        <is>
          <t>Eastwey</t>
        </is>
      </c>
      <c r="C669" t="inlineStr">
        <is>
          <t>open</t>
        </is>
      </c>
      <c r="D669" t="n">
        <v>53.6</v>
      </c>
      <c r="E669">
        <f>ROUNDUP(D669, 0)</f>
        <v/>
      </c>
      <c r="F669">
        <f>IF(LOWER(C669)="covered", 10.40, 7.55)</f>
        <v/>
      </c>
      <c r="G669">
        <f>E669*F669</f>
        <v/>
      </c>
      <c r="H669" t="n">
        <v>407.7</v>
      </c>
      <c r="I669">
        <f>G669-H669</f>
        <v/>
      </c>
    </row>
    <row r="670">
      <c r="A670" t="inlineStr">
        <is>
          <t>EW-1008</t>
        </is>
      </c>
      <c r="B670" t="inlineStr">
        <is>
          <t>Eastwey</t>
        </is>
      </c>
      <c r="C670" t="inlineStr">
        <is>
          <t>open</t>
        </is>
      </c>
      <c r="D670" t="n">
        <v>19.8</v>
      </c>
      <c r="E670">
        <f>ROUNDUP(D670, 0)</f>
        <v/>
      </c>
      <c r="F670">
        <f>IF(LOWER(C670)="covered", 10.40, 7.55)</f>
        <v/>
      </c>
      <c r="G670">
        <f>E670*F670</f>
        <v/>
      </c>
      <c r="H670" t="n">
        <v>377.5</v>
      </c>
      <c r="I670">
        <f>G670-H670</f>
        <v/>
      </c>
    </row>
    <row r="671">
      <c r="A671" t="inlineStr">
        <is>
          <t>EW-1010</t>
        </is>
      </c>
      <c r="B671" t="inlineStr">
        <is>
          <t>Eastwey</t>
        </is>
      </c>
      <c r="C671" t="inlineStr">
        <is>
          <t>open</t>
        </is>
      </c>
      <c r="D671" t="n">
        <v>44.2</v>
      </c>
      <c r="E671">
        <f>ROUNDUP(D671, 0)</f>
        <v/>
      </c>
      <c r="F671">
        <f>IF(LOWER(C671)="covered", 10.40, 7.55)</f>
        <v/>
      </c>
      <c r="G671">
        <f>E671*F671</f>
        <v/>
      </c>
      <c r="H671" t="n">
        <v>339.75</v>
      </c>
      <c r="I671">
        <f>G671-H671</f>
        <v/>
      </c>
    </row>
    <row r="672">
      <c r="A672" t="inlineStr">
        <is>
          <t>EW-1011</t>
        </is>
      </c>
      <c r="B672" t="inlineStr">
        <is>
          <t>Eastwey</t>
        </is>
      </c>
      <c r="C672" t="inlineStr">
        <is>
          <t>open</t>
        </is>
      </c>
      <c r="D672" t="n">
        <v>40.1</v>
      </c>
      <c r="E672">
        <f>ROUNDUP(D672, 0)</f>
        <v/>
      </c>
      <c r="F672">
        <f>IF(LOWER(C672)="covered", 10.40, 7.55)</f>
        <v/>
      </c>
      <c r="G672">
        <f>E672*F672</f>
        <v/>
      </c>
      <c r="H672" t="n">
        <v>309.55</v>
      </c>
      <c r="I672">
        <f>G672-H672</f>
        <v/>
      </c>
    </row>
    <row r="673">
      <c r="A673" t="inlineStr">
        <is>
          <t>EW-1012</t>
        </is>
      </c>
      <c r="B673" t="inlineStr">
        <is>
          <t>Eastwey</t>
        </is>
      </c>
      <c r="C673" t="inlineStr">
        <is>
          <t>open</t>
        </is>
      </c>
      <c r="D673" t="n">
        <v>53</v>
      </c>
      <c r="E673">
        <f>ROUNDUP(D673, 0)</f>
        <v/>
      </c>
      <c r="F673">
        <f>IF(LOWER(C673)="covered", 10.40, 7.55)</f>
        <v/>
      </c>
      <c r="G673">
        <f>E673*F673</f>
        <v/>
      </c>
      <c r="H673" t="n">
        <v>400.15</v>
      </c>
      <c r="I673">
        <f>G673-H673</f>
        <v/>
      </c>
    </row>
    <row r="674">
      <c r="A674" t="inlineStr">
        <is>
          <t>EW-1013</t>
        </is>
      </c>
      <c r="B674" t="inlineStr">
        <is>
          <t>Eastwey</t>
        </is>
      </c>
      <c r="C674" t="inlineStr">
        <is>
          <t>open</t>
        </is>
      </c>
      <c r="D674" t="n">
        <v>21.2</v>
      </c>
      <c r="E674">
        <f>ROUNDUP(D674, 0)</f>
        <v/>
      </c>
      <c r="F674">
        <f>IF(LOWER(C674)="covered", 10.40, 7.55)</f>
        <v/>
      </c>
      <c r="G674">
        <f>E674*F674</f>
        <v/>
      </c>
      <c r="H674" t="n">
        <v>302</v>
      </c>
      <c r="I674">
        <f>G674-H674</f>
        <v/>
      </c>
    </row>
    <row r="675">
      <c r="A675" t="inlineStr">
        <is>
          <t>EW-1014</t>
        </is>
      </c>
      <c r="B675" t="inlineStr">
        <is>
          <t>Eastwey</t>
        </is>
      </c>
      <c r="C675" t="inlineStr">
        <is>
          <t>open</t>
        </is>
      </c>
      <c r="D675" t="n">
        <v>34.4</v>
      </c>
      <c r="E675">
        <f>ROUNDUP(D675, 0)</f>
        <v/>
      </c>
      <c r="F675">
        <f>IF(LOWER(C675)="covered", 10.40, 7.55)</f>
        <v/>
      </c>
      <c r="G675">
        <f>E675*F675</f>
        <v/>
      </c>
      <c r="H675" t="n">
        <v>302</v>
      </c>
      <c r="I675">
        <f>G675-H675</f>
        <v/>
      </c>
    </row>
    <row r="676">
      <c r="A676" t="inlineStr">
        <is>
          <t>EW-1015</t>
        </is>
      </c>
      <c r="B676" t="inlineStr">
        <is>
          <t>Eastwey</t>
        </is>
      </c>
      <c r="C676" t="inlineStr">
        <is>
          <t>open</t>
        </is>
      </c>
      <c r="D676" t="n">
        <v>20.7</v>
      </c>
      <c r="E676">
        <f>ROUNDUP(D676, 0)</f>
        <v/>
      </c>
      <c r="F676">
        <f>IF(LOWER(C676)="covered", 10.40, 7.55)</f>
        <v/>
      </c>
      <c r="G676">
        <f>E676*F676</f>
        <v/>
      </c>
      <c r="H676" t="n">
        <v>181.2</v>
      </c>
      <c r="I676">
        <f>G676-H676</f>
        <v/>
      </c>
    </row>
    <row r="677">
      <c r="A677" t="inlineStr">
        <is>
          <t>EW-1016</t>
        </is>
      </c>
      <c r="B677" t="inlineStr">
        <is>
          <t>Eastwey</t>
        </is>
      </c>
      <c r="C677" t="inlineStr">
        <is>
          <t>open</t>
        </is>
      </c>
      <c r="D677" t="n">
        <v>55.1</v>
      </c>
      <c r="E677">
        <f>ROUNDUP(D677, 0)</f>
        <v/>
      </c>
      <c r="F677">
        <f>IF(LOWER(C677)="covered", 10.40, 7.55)</f>
        <v/>
      </c>
      <c r="G677">
        <f>E677*F677</f>
        <v/>
      </c>
      <c r="H677" t="n">
        <v>422.8</v>
      </c>
      <c r="I677">
        <f>G677-H677</f>
        <v/>
      </c>
    </row>
    <row r="678">
      <c r="A678" t="inlineStr">
        <is>
          <t>EW-1017</t>
        </is>
      </c>
      <c r="B678" t="inlineStr">
        <is>
          <t>Eastwey</t>
        </is>
      </c>
      <c r="C678" t="inlineStr">
        <is>
          <t>open</t>
        </is>
      </c>
      <c r="D678" t="n">
        <v>61.8</v>
      </c>
      <c r="E678">
        <f>ROUNDUP(D678, 0)</f>
        <v/>
      </c>
      <c r="F678">
        <f>IF(LOWER(C678)="covered", 10.40, 7.55)</f>
        <v/>
      </c>
      <c r="G678">
        <f>E678*F678</f>
        <v/>
      </c>
      <c r="H678" t="n">
        <v>468.1</v>
      </c>
      <c r="I678">
        <f>G678-H678</f>
        <v/>
      </c>
    </row>
    <row r="679">
      <c r="A679" t="inlineStr">
        <is>
          <t>EW-1018</t>
        </is>
      </c>
      <c r="B679" t="inlineStr">
        <is>
          <t>Eastwey</t>
        </is>
      </c>
      <c r="C679" t="inlineStr">
        <is>
          <t>open</t>
        </is>
      </c>
      <c r="D679" t="n">
        <v>60.8</v>
      </c>
      <c r="E679">
        <f>ROUNDUP(D679, 0)</f>
        <v/>
      </c>
      <c r="F679">
        <f>IF(LOWER(C679)="covered", 10.40, 7.55)</f>
        <v/>
      </c>
      <c r="G679">
        <f>E679*F679</f>
        <v/>
      </c>
      <c r="H679" t="n">
        <v>460.55</v>
      </c>
      <c r="I679">
        <f>G679-H679</f>
        <v/>
      </c>
    </row>
    <row r="680">
      <c r="A680" t="inlineStr">
        <is>
          <t>EW-1019</t>
        </is>
      </c>
      <c r="B680" t="inlineStr">
        <is>
          <t>Eastwey</t>
        </is>
      </c>
      <c r="C680" t="inlineStr">
        <is>
          <t>open</t>
        </is>
      </c>
      <c r="D680" t="n">
        <v>50.6</v>
      </c>
      <c r="E680">
        <f>ROUNDUP(D680, 0)</f>
        <v/>
      </c>
      <c r="F680">
        <f>IF(LOWER(C680)="covered", 10.40, 7.55)</f>
        <v/>
      </c>
      <c r="G680">
        <f>E680*F680</f>
        <v/>
      </c>
      <c r="H680" t="n">
        <v>385.05</v>
      </c>
      <c r="I680">
        <f>G680-H680</f>
        <v/>
      </c>
    </row>
    <row r="681">
      <c r="A681" t="inlineStr">
        <is>
          <t>EW-1021</t>
        </is>
      </c>
      <c r="B681" t="inlineStr">
        <is>
          <t>Eastwey</t>
        </is>
      </c>
      <c r="C681" t="inlineStr">
        <is>
          <t>open</t>
        </is>
      </c>
      <c r="D681" t="n">
        <v>57.5</v>
      </c>
      <c r="E681">
        <f>ROUNDUP(D681, 0)</f>
        <v/>
      </c>
      <c r="F681">
        <f>IF(LOWER(C681)="covered", 10.40, 7.55)</f>
        <v/>
      </c>
      <c r="G681">
        <f>E681*F681</f>
        <v/>
      </c>
      <c r="H681" t="n">
        <v>528.5</v>
      </c>
      <c r="I681">
        <f>G681-H681</f>
        <v/>
      </c>
    </row>
    <row r="682">
      <c r="A682" t="inlineStr">
        <is>
          <t>EW-1022</t>
        </is>
      </c>
      <c r="B682" t="inlineStr">
        <is>
          <t>Eastwey</t>
        </is>
      </c>
      <c r="C682" t="inlineStr">
        <is>
          <t>open</t>
        </is>
      </c>
      <c r="D682" t="n">
        <v>39</v>
      </c>
      <c r="E682">
        <f>ROUNDUP(D682, 0)</f>
        <v/>
      </c>
      <c r="F682">
        <f>IF(LOWER(C682)="covered", 10.40, 7.55)</f>
        <v/>
      </c>
      <c r="G682">
        <f>E682*F682</f>
        <v/>
      </c>
      <c r="H682" t="n">
        <v>294.45</v>
      </c>
      <c r="I682">
        <f>G682-H682</f>
        <v/>
      </c>
    </row>
    <row r="683">
      <c r="A683" t="inlineStr">
        <is>
          <t>EW-1023</t>
        </is>
      </c>
      <c r="B683" t="inlineStr">
        <is>
          <t>Eastwey</t>
        </is>
      </c>
      <c r="C683" t="inlineStr">
        <is>
          <t>open</t>
        </is>
      </c>
      <c r="D683" t="n">
        <v>26.5</v>
      </c>
      <c r="E683">
        <f>ROUNDUP(D683, 0)</f>
        <v/>
      </c>
      <c r="F683">
        <f>IF(LOWER(C683)="covered", 10.40, 7.55)</f>
        <v/>
      </c>
      <c r="G683">
        <f>E683*F683</f>
        <v/>
      </c>
      <c r="H683" t="n">
        <v>453</v>
      </c>
      <c r="I683">
        <f>G683-H683</f>
        <v/>
      </c>
    </row>
    <row r="684">
      <c r="A684" t="inlineStr">
        <is>
          <t>EW-1024</t>
        </is>
      </c>
      <c r="B684" t="inlineStr">
        <is>
          <t>Eastwey</t>
        </is>
      </c>
      <c r="C684" t="inlineStr">
        <is>
          <t>open</t>
        </is>
      </c>
      <c r="D684" t="n">
        <v>33.7</v>
      </c>
      <c r="E684">
        <f>ROUNDUP(D684, 0)</f>
        <v/>
      </c>
      <c r="F684">
        <f>IF(LOWER(C684)="covered", 10.40, 7.55)</f>
        <v/>
      </c>
      <c r="G684">
        <f>E684*F684</f>
        <v/>
      </c>
      <c r="H684" t="n">
        <v>256.7</v>
      </c>
      <c r="I684">
        <f>G684-H684</f>
        <v/>
      </c>
    </row>
    <row r="685">
      <c r="A685" t="inlineStr">
        <is>
          <t>GW-0102</t>
        </is>
      </c>
      <c r="B685" t="inlineStr">
        <is>
          <t>Gullwing</t>
        </is>
      </c>
      <c r="C685" t="inlineStr">
        <is>
          <t>open</t>
        </is>
      </c>
      <c r="D685" t="n">
        <v>43.8</v>
      </c>
      <c r="E685">
        <f>ROUNDUP(D685, 0)</f>
        <v/>
      </c>
      <c r="F685">
        <f>IF(LOWER(C685)="covered", 10.40, 7.55)</f>
        <v/>
      </c>
      <c r="G685">
        <f>E685*F685</f>
        <v/>
      </c>
      <c r="H685" t="n">
        <v>332.2</v>
      </c>
      <c r="I685">
        <f>G685-H685</f>
        <v/>
      </c>
    </row>
    <row r="686">
      <c r="A686" t="inlineStr">
        <is>
          <t>GW-0103</t>
        </is>
      </c>
      <c r="B686" t="inlineStr">
        <is>
          <t>Gullwing</t>
        </is>
      </c>
      <c r="C686" t="inlineStr">
        <is>
          <t>open</t>
        </is>
      </c>
      <c r="D686" t="n">
        <v>21.9</v>
      </c>
      <c r="E686">
        <f>ROUNDUP(D686, 0)</f>
        <v/>
      </c>
      <c r="F686">
        <f>IF(LOWER(C686)="covered", 10.40, 7.55)</f>
        <v/>
      </c>
      <c r="G686">
        <f>E686*F686</f>
        <v/>
      </c>
      <c r="H686" t="n">
        <v>339.75</v>
      </c>
      <c r="I686">
        <f>G686-H686</f>
        <v/>
      </c>
    </row>
    <row r="687">
      <c r="A687" t="inlineStr">
        <is>
          <t>GW-0104</t>
        </is>
      </c>
      <c r="B687" t="inlineStr">
        <is>
          <t>Gullwing</t>
        </is>
      </c>
      <c r="C687" t="inlineStr">
        <is>
          <t>open</t>
        </is>
      </c>
      <c r="D687" t="n">
        <v>49.6</v>
      </c>
      <c r="E687">
        <f>ROUNDUP(D687, 0)</f>
        <v/>
      </c>
      <c r="F687">
        <f>IF(LOWER(C687)="covered", 10.40, 7.55)</f>
        <v/>
      </c>
      <c r="G687">
        <f>E687*F687</f>
        <v/>
      </c>
      <c r="H687" t="n">
        <v>377.5</v>
      </c>
      <c r="I687">
        <f>G687-H687</f>
        <v/>
      </c>
    </row>
    <row r="688">
      <c r="A688" t="inlineStr">
        <is>
          <t>GW-0105</t>
        </is>
      </c>
      <c r="B688" t="inlineStr">
        <is>
          <t>Gullwing</t>
        </is>
      </c>
      <c r="C688" t="inlineStr">
        <is>
          <t>open</t>
        </is>
      </c>
      <c r="D688" t="n">
        <v>35.5</v>
      </c>
      <c r="E688">
        <f>ROUNDUP(D688, 0)</f>
        <v/>
      </c>
      <c r="F688">
        <f>IF(LOWER(C688)="covered", 10.40, 7.55)</f>
        <v/>
      </c>
      <c r="G688">
        <f>E688*F688</f>
        <v/>
      </c>
      <c r="H688" t="n">
        <v>453</v>
      </c>
      <c r="I688">
        <f>G688-H688</f>
        <v/>
      </c>
    </row>
    <row r="689">
      <c r="A689" t="inlineStr">
        <is>
          <t>GW-0106</t>
        </is>
      </c>
      <c r="B689" t="inlineStr">
        <is>
          <t>Gullwing</t>
        </is>
      </c>
      <c r="C689" t="inlineStr">
        <is>
          <t>open</t>
        </is>
      </c>
      <c r="D689" t="n">
        <v>40.5</v>
      </c>
      <c r="E689">
        <f>ROUNDUP(D689, 0)</f>
        <v/>
      </c>
      <c r="F689">
        <f>IF(LOWER(C689)="covered", 10.40, 7.55)</f>
        <v/>
      </c>
      <c r="G689">
        <f>E689*F689</f>
        <v/>
      </c>
      <c r="H689" t="n">
        <v>604</v>
      </c>
      <c r="I689">
        <f>G689-H689</f>
        <v/>
      </c>
    </row>
    <row r="690">
      <c r="A690" t="inlineStr">
        <is>
          <t>GW-0108</t>
        </is>
      </c>
      <c r="B690" t="inlineStr">
        <is>
          <t>Gullwing</t>
        </is>
      </c>
      <c r="C690" t="inlineStr">
        <is>
          <t>open</t>
        </is>
      </c>
      <c r="D690" t="n">
        <v>46.9</v>
      </c>
      <c r="E690">
        <f>ROUNDUP(D690, 0)</f>
        <v/>
      </c>
      <c r="F690">
        <f>IF(LOWER(C690)="covered", 10.40, 7.55)</f>
        <v/>
      </c>
      <c r="G690">
        <f>E690*F690</f>
        <v/>
      </c>
      <c r="H690" t="n">
        <v>354.85</v>
      </c>
      <c r="I690">
        <f>G690-H690</f>
        <v/>
      </c>
    </row>
    <row r="691">
      <c r="A691" t="inlineStr">
        <is>
          <t>GW-0109</t>
        </is>
      </c>
      <c r="B691" t="inlineStr">
        <is>
          <t>Gullwing</t>
        </is>
      </c>
      <c r="C691" t="inlineStr">
        <is>
          <t>open</t>
        </is>
      </c>
      <c r="D691" t="n">
        <v>55</v>
      </c>
      <c r="E691">
        <f>ROUNDUP(D691, 0)</f>
        <v/>
      </c>
      <c r="F691">
        <f>IF(LOWER(C691)="covered", 10.40, 7.55)</f>
        <v/>
      </c>
      <c r="G691">
        <f>E691*F691</f>
        <v/>
      </c>
      <c r="H691" t="n">
        <v>415.25</v>
      </c>
      <c r="I691">
        <f>G691-H691</f>
        <v/>
      </c>
    </row>
    <row r="692">
      <c r="A692" t="inlineStr">
        <is>
          <t>GW-0110</t>
        </is>
      </c>
      <c r="B692" t="inlineStr">
        <is>
          <t>Gullwing</t>
        </is>
      </c>
      <c r="C692" t="inlineStr">
        <is>
          <t>open</t>
        </is>
      </c>
      <c r="D692" t="n">
        <v>42.1</v>
      </c>
      <c r="E692">
        <f>ROUNDUP(D692, 0)</f>
        <v/>
      </c>
      <c r="F692">
        <f>IF(LOWER(C692)="covered", 10.40, 7.55)</f>
        <v/>
      </c>
      <c r="G692">
        <f>E692*F692</f>
        <v/>
      </c>
      <c r="H692" t="n">
        <v>604</v>
      </c>
      <c r="I692">
        <f>G692-H692</f>
        <v/>
      </c>
    </row>
    <row r="693">
      <c r="A693" t="inlineStr">
        <is>
          <t>GW-0111</t>
        </is>
      </c>
      <c r="B693" t="inlineStr">
        <is>
          <t>Gullwing</t>
        </is>
      </c>
      <c r="C693" t="inlineStr">
        <is>
          <t>open</t>
        </is>
      </c>
      <c r="D693" t="n">
        <v>59.8</v>
      </c>
      <c r="E693">
        <f>ROUNDUP(D693, 0)</f>
        <v/>
      </c>
      <c r="F693">
        <f>IF(LOWER(C693)="covered", 10.40, 7.55)</f>
        <v/>
      </c>
      <c r="G693">
        <f>E693*F693</f>
        <v/>
      </c>
      <c r="H693" t="n">
        <v>453</v>
      </c>
      <c r="I693">
        <f>G693-H693</f>
        <v/>
      </c>
    </row>
    <row r="694">
      <c r="A694" t="inlineStr">
        <is>
          <t>GW-0112</t>
        </is>
      </c>
      <c r="B694" t="inlineStr">
        <is>
          <t>Gullwing</t>
        </is>
      </c>
      <c r="C694" t="inlineStr">
        <is>
          <t>open</t>
        </is>
      </c>
      <c r="D694" t="n">
        <v>19.8</v>
      </c>
      <c r="E694">
        <f>ROUNDUP(D694, 0)</f>
        <v/>
      </c>
      <c r="F694">
        <f>IF(LOWER(C694)="covered", 10.40, 7.55)</f>
        <v/>
      </c>
      <c r="G694">
        <f>E694*F694</f>
        <v/>
      </c>
      <c r="H694" t="n">
        <v>241.6</v>
      </c>
      <c r="I694">
        <f>G694-H694</f>
        <v/>
      </c>
    </row>
    <row r="695">
      <c r="A695" t="inlineStr">
        <is>
          <t>GW-0113</t>
        </is>
      </c>
      <c r="B695" t="inlineStr">
        <is>
          <t>Gullwing</t>
        </is>
      </c>
      <c r="C695" t="inlineStr">
        <is>
          <t>open</t>
        </is>
      </c>
      <c r="D695" t="n">
        <v>45.1</v>
      </c>
      <c r="E695">
        <f>ROUNDUP(D695, 0)</f>
        <v/>
      </c>
      <c r="F695">
        <f>IF(LOWER(C695)="covered", 10.40, 7.55)</f>
        <v/>
      </c>
      <c r="G695">
        <f>E695*F695</f>
        <v/>
      </c>
      <c r="H695" t="n">
        <v>347.3</v>
      </c>
      <c r="I695">
        <f>G695-H695</f>
        <v/>
      </c>
    </row>
    <row r="696">
      <c r="A696" t="inlineStr">
        <is>
          <t>GW-0114</t>
        </is>
      </c>
      <c r="B696" t="inlineStr">
        <is>
          <t>Gullwing</t>
        </is>
      </c>
      <c r="C696" t="inlineStr">
        <is>
          <t>open</t>
        </is>
      </c>
      <c r="D696" t="n">
        <v>36.6</v>
      </c>
      <c r="E696">
        <f>ROUNDUP(D696, 0)</f>
        <v/>
      </c>
      <c r="F696">
        <f>IF(LOWER(C696)="covered", 10.40, 7.55)</f>
        <v/>
      </c>
      <c r="G696">
        <f>E696*F696</f>
        <v/>
      </c>
      <c r="H696" t="n">
        <v>279.35</v>
      </c>
      <c r="I696">
        <f>G696-H696</f>
        <v/>
      </c>
    </row>
    <row r="697">
      <c r="A697" t="inlineStr">
        <is>
          <t>GW-0115</t>
        </is>
      </c>
      <c r="B697" t="inlineStr">
        <is>
          <t>Gullwing</t>
        </is>
      </c>
      <c r="C697" t="inlineStr">
        <is>
          <t>open</t>
        </is>
      </c>
      <c r="D697" t="n">
        <v>26.4</v>
      </c>
      <c r="E697">
        <f>ROUNDUP(D697, 0)</f>
        <v/>
      </c>
      <c r="F697">
        <f>IF(LOWER(C697)="covered", 10.40, 7.55)</f>
        <v/>
      </c>
      <c r="G697">
        <f>E697*F697</f>
        <v/>
      </c>
      <c r="H697" t="n">
        <v>377.5</v>
      </c>
      <c r="I697">
        <f>G697-H697</f>
        <v/>
      </c>
    </row>
    <row r="698">
      <c r="A698" t="inlineStr">
        <is>
          <t>GW-0116</t>
        </is>
      </c>
      <c r="B698" t="inlineStr">
        <is>
          <t>Gullwing</t>
        </is>
      </c>
      <c r="C698" t="inlineStr">
        <is>
          <t>open</t>
        </is>
      </c>
      <c r="D698" t="n">
        <v>49.4</v>
      </c>
      <c r="E698">
        <f>ROUNDUP(D698, 0)</f>
        <v/>
      </c>
      <c r="F698">
        <f>IF(LOWER(C698)="covered", 10.40, 7.55)</f>
        <v/>
      </c>
      <c r="G698">
        <f>E698*F698</f>
        <v/>
      </c>
      <c r="H698" t="n">
        <v>377.5</v>
      </c>
      <c r="I698">
        <f>G698-H698</f>
        <v/>
      </c>
    </row>
    <row r="699">
      <c r="A699" t="inlineStr">
        <is>
          <t>GW-0117</t>
        </is>
      </c>
      <c r="B699" t="inlineStr">
        <is>
          <t>Gullwing</t>
        </is>
      </c>
      <c r="C699" t="inlineStr">
        <is>
          <t>open</t>
        </is>
      </c>
      <c r="D699" t="n">
        <v>50</v>
      </c>
      <c r="E699">
        <f>ROUNDUP(D699, 0)</f>
        <v/>
      </c>
      <c r="F699">
        <f>IF(LOWER(C699)="covered", 10.40, 7.55)</f>
        <v/>
      </c>
      <c r="G699">
        <f>E699*F699</f>
        <v/>
      </c>
      <c r="H699" t="n">
        <v>377.5</v>
      </c>
      <c r="I699">
        <f>G699-H699</f>
        <v/>
      </c>
    </row>
    <row r="700">
      <c r="A700" t="inlineStr">
        <is>
          <t>GW-0118</t>
        </is>
      </c>
      <c r="B700" t="inlineStr">
        <is>
          <t>Gullwing</t>
        </is>
      </c>
      <c r="C700" t="inlineStr">
        <is>
          <t>open</t>
        </is>
      </c>
      <c r="D700" t="n">
        <v>53.9</v>
      </c>
      <c r="E700">
        <f>ROUNDUP(D700, 0)</f>
        <v/>
      </c>
      <c r="F700">
        <f>IF(LOWER(C700)="covered", 10.40, 7.55)</f>
        <v/>
      </c>
      <c r="G700">
        <f>E700*F700</f>
        <v/>
      </c>
      <c r="H700" t="n">
        <v>453</v>
      </c>
      <c r="I700">
        <f>G700-H700</f>
        <v/>
      </c>
    </row>
    <row r="701">
      <c r="A701" t="inlineStr">
        <is>
          <t>GW-0119</t>
        </is>
      </c>
      <c r="B701" t="inlineStr">
        <is>
          <t>Gullwing</t>
        </is>
      </c>
      <c r="C701" t="inlineStr">
        <is>
          <t>open</t>
        </is>
      </c>
      <c r="D701" t="n">
        <v>37.9</v>
      </c>
      <c r="E701">
        <f>ROUNDUP(D701, 0)</f>
        <v/>
      </c>
      <c r="F701">
        <f>IF(LOWER(C701)="covered", 10.40, 7.55)</f>
        <v/>
      </c>
      <c r="G701">
        <f>E701*F701</f>
        <v/>
      </c>
      <c r="H701" t="n">
        <v>286.9</v>
      </c>
      <c r="I701">
        <f>G701-H701</f>
        <v/>
      </c>
    </row>
    <row r="702">
      <c r="A702" t="inlineStr">
        <is>
          <t>GW-0120</t>
        </is>
      </c>
      <c r="B702" t="inlineStr">
        <is>
          <t>Gullwing</t>
        </is>
      </c>
      <c r="C702" t="inlineStr">
        <is>
          <t>open</t>
        </is>
      </c>
      <c r="D702" t="n">
        <v>49.8</v>
      </c>
      <c r="E702">
        <f>ROUNDUP(D702, 0)</f>
        <v/>
      </c>
      <c r="F702">
        <f>IF(LOWER(C702)="covered", 10.40, 7.55)</f>
        <v/>
      </c>
      <c r="G702">
        <f>E702*F702</f>
        <v/>
      </c>
      <c r="H702" t="n">
        <v>377.5</v>
      </c>
      <c r="I702">
        <f>G702-H702</f>
        <v/>
      </c>
    </row>
    <row r="703">
      <c r="A703" t="inlineStr">
        <is>
          <t>GW-0121</t>
        </is>
      </c>
      <c r="B703" t="inlineStr">
        <is>
          <t>Gullwing</t>
        </is>
      </c>
      <c r="C703" t="inlineStr">
        <is>
          <t>open</t>
        </is>
      </c>
      <c r="D703" t="n">
        <v>40.7</v>
      </c>
      <c r="E703">
        <f>ROUNDUP(D703, 0)</f>
        <v/>
      </c>
      <c r="F703">
        <f>IF(LOWER(C703)="covered", 10.40, 7.55)</f>
        <v/>
      </c>
      <c r="G703">
        <f>E703*F703</f>
        <v/>
      </c>
      <c r="H703" t="n">
        <v>309.55</v>
      </c>
      <c r="I703">
        <f>G703-H703</f>
        <v/>
      </c>
    </row>
    <row r="704">
      <c r="A704" t="inlineStr">
        <is>
          <t>GW-0122</t>
        </is>
      </c>
      <c r="B704" t="inlineStr">
        <is>
          <t>Gullwing</t>
        </is>
      </c>
      <c r="C704" t="inlineStr">
        <is>
          <t>open</t>
        </is>
      </c>
      <c r="D704" t="n">
        <v>26.5</v>
      </c>
      <c r="E704">
        <f>ROUNDUP(D704, 0)</f>
        <v/>
      </c>
      <c r="F704">
        <f>IF(LOWER(C704)="covered", 10.40, 7.55)</f>
        <v/>
      </c>
      <c r="G704">
        <f>E704*F704</f>
        <v/>
      </c>
      <c r="H704" t="n">
        <v>241.6</v>
      </c>
      <c r="I704">
        <f>G704-H704</f>
        <v/>
      </c>
    </row>
    <row r="705">
      <c r="A705" t="inlineStr">
        <is>
          <t>GW-0123</t>
        </is>
      </c>
      <c r="B705" t="inlineStr">
        <is>
          <t>Gullwing</t>
        </is>
      </c>
      <c r="C705" t="inlineStr">
        <is>
          <t>open</t>
        </is>
      </c>
      <c r="D705" t="n">
        <v>40.2</v>
      </c>
      <c r="E705">
        <f>ROUNDUP(D705, 0)</f>
        <v/>
      </c>
      <c r="F705">
        <f>IF(LOWER(C705)="covered", 10.40, 7.55)</f>
        <v/>
      </c>
      <c r="G705">
        <f>E705*F705</f>
        <v/>
      </c>
      <c r="H705" t="n">
        <v>604</v>
      </c>
      <c r="I705">
        <f>G705-H705</f>
        <v/>
      </c>
    </row>
    <row r="706">
      <c r="A706" t="inlineStr">
        <is>
          <t>GW-0201</t>
        </is>
      </c>
      <c r="B706" t="inlineStr">
        <is>
          <t>Gullwing</t>
        </is>
      </c>
      <c r="C706" t="inlineStr">
        <is>
          <t>open</t>
        </is>
      </c>
      <c r="D706" t="n">
        <v>36.5</v>
      </c>
      <c r="E706">
        <f>ROUNDUP(D706, 0)</f>
        <v/>
      </c>
      <c r="F706">
        <f>IF(LOWER(C706)="covered", 10.40, 7.55)</f>
        <v/>
      </c>
      <c r="G706">
        <f>E706*F706</f>
        <v/>
      </c>
      <c r="H706" t="n">
        <v>279.35</v>
      </c>
      <c r="I706">
        <f>G706-H706</f>
        <v/>
      </c>
    </row>
    <row r="707">
      <c r="A707" t="inlineStr">
        <is>
          <t>GW-0202</t>
        </is>
      </c>
      <c r="B707" t="inlineStr">
        <is>
          <t>Gullwing</t>
        </is>
      </c>
      <c r="C707" t="inlineStr">
        <is>
          <t>open</t>
        </is>
      </c>
      <c r="D707" t="n">
        <v>58.2</v>
      </c>
      <c r="E707">
        <f>ROUNDUP(D707, 0)</f>
        <v/>
      </c>
      <c r="F707">
        <f>IF(LOWER(C707)="covered", 10.40, 7.55)</f>
        <v/>
      </c>
      <c r="G707">
        <f>E707*F707</f>
        <v/>
      </c>
      <c r="H707" t="n">
        <v>604</v>
      </c>
      <c r="I707">
        <f>G707-H707</f>
        <v/>
      </c>
    </row>
    <row r="708">
      <c r="A708" t="inlineStr">
        <is>
          <t>GW-0204</t>
        </is>
      </c>
      <c r="B708" t="inlineStr">
        <is>
          <t>Gullwing</t>
        </is>
      </c>
      <c r="C708" t="inlineStr">
        <is>
          <t>open</t>
        </is>
      </c>
      <c r="D708" t="n">
        <v>25.1</v>
      </c>
      <c r="E708">
        <f>ROUNDUP(D708, 0)</f>
        <v/>
      </c>
      <c r="F708">
        <f>IF(LOWER(C708)="covered", 10.40, 7.55)</f>
        <v/>
      </c>
      <c r="G708">
        <f>E708*F708</f>
        <v/>
      </c>
      <c r="H708" t="n">
        <v>241.6</v>
      </c>
      <c r="I708">
        <f>G708-H708</f>
        <v/>
      </c>
    </row>
    <row r="709">
      <c r="A709" t="inlineStr">
        <is>
          <t>GW-0205</t>
        </is>
      </c>
      <c r="B709" t="inlineStr">
        <is>
          <t>Gullwing</t>
        </is>
      </c>
      <c r="C709" t="inlineStr">
        <is>
          <t>open</t>
        </is>
      </c>
      <c r="D709" t="n">
        <v>43.1</v>
      </c>
      <c r="E709">
        <f>ROUNDUP(D709, 0)</f>
        <v/>
      </c>
      <c r="F709">
        <f>IF(LOWER(C709)="covered", 10.40, 7.55)</f>
        <v/>
      </c>
      <c r="G709">
        <f>E709*F709</f>
        <v/>
      </c>
      <c r="H709" t="n">
        <v>377.5</v>
      </c>
      <c r="I709">
        <f>G709-H709</f>
        <v/>
      </c>
    </row>
    <row r="710">
      <c r="A710" t="inlineStr">
        <is>
          <t>GW-0206</t>
        </is>
      </c>
      <c r="B710" t="inlineStr">
        <is>
          <t>Gullwing</t>
        </is>
      </c>
      <c r="C710" t="inlineStr">
        <is>
          <t>open</t>
        </is>
      </c>
      <c r="D710" t="n">
        <v>55.9</v>
      </c>
      <c r="E710">
        <f>ROUNDUP(D710, 0)</f>
        <v/>
      </c>
      <c r="F710">
        <f>IF(LOWER(C710)="covered", 10.40, 7.55)</f>
        <v/>
      </c>
      <c r="G710">
        <f>E710*F710</f>
        <v/>
      </c>
      <c r="H710" t="n">
        <v>422.8</v>
      </c>
      <c r="I710">
        <f>G710-H710</f>
        <v/>
      </c>
    </row>
    <row r="711">
      <c r="A711" t="inlineStr">
        <is>
          <t>GW-0207</t>
        </is>
      </c>
      <c r="B711" t="inlineStr">
        <is>
          <t>Gullwing</t>
        </is>
      </c>
      <c r="C711" t="inlineStr">
        <is>
          <t>open</t>
        </is>
      </c>
      <c r="D711" t="n">
        <v>52.2</v>
      </c>
      <c r="E711">
        <f>ROUNDUP(D711, 0)</f>
        <v/>
      </c>
      <c r="F711">
        <f>IF(LOWER(C711)="covered", 10.40, 7.55)</f>
        <v/>
      </c>
      <c r="G711">
        <f>E711*F711</f>
        <v/>
      </c>
      <c r="H711" t="n">
        <v>400.15</v>
      </c>
      <c r="I711">
        <f>G711-H711</f>
        <v/>
      </c>
    </row>
    <row r="712">
      <c r="A712" t="inlineStr">
        <is>
          <t>GW-0208</t>
        </is>
      </c>
      <c r="B712" t="inlineStr">
        <is>
          <t>Gullwing</t>
        </is>
      </c>
      <c r="C712" t="inlineStr">
        <is>
          <t>open</t>
        </is>
      </c>
      <c r="D712" t="n">
        <v>57.6</v>
      </c>
      <c r="E712">
        <f>ROUNDUP(D712, 0)</f>
        <v/>
      </c>
      <c r="F712">
        <f>IF(LOWER(C712)="covered", 10.40, 7.55)</f>
        <v/>
      </c>
      <c r="G712">
        <f>E712*F712</f>
        <v/>
      </c>
      <c r="H712" t="n">
        <v>437.9</v>
      </c>
      <c r="I712">
        <f>G712-H712</f>
        <v/>
      </c>
    </row>
    <row r="713">
      <c r="A713" t="inlineStr">
        <is>
          <t>GW-0209</t>
        </is>
      </c>
      <c r="B713" t="inlineStr">
        <is>
          <t>Gullwing</t>
        </is>
      </c>
      <c r="C713" t="inlineStr">
        <is>
          <t>open</t>
        </is>
      </c>
      <c r="D713" t="n">
        <v>36</v>
      </c>
      <c r="E713">
        <f>ROUNDUP(D713, 0)</f>
        <v/>
      </c>
      <c r="F713">
        <f>IF(LOWER(C713)="covered", 10.40, 7.55)</f>
        <v/>
      </c>
      <c r="G713">
        <f>E713*F713</f>
        <v/>
      </c>
      <c r="H713" t="n">
        <v>302</v>
      </c>
      <c r="I713">
        <f>G713-H713</f>
        <v/>
      </c>
    </row>
    <row r="714">
      <c r="A714" t="inlineStr">
        <is>
          <t>GW-0210</t>
        </is>
      </c>
      <c r="B714" t="inlineStr">
        <is>
          <t>Gullwing</t>
        </is>
      </c>
      <c r="C714" t="inlineStr">
        <is>
          <t>open</t>
        </is>
      </c>
      <c r="D714" t="n">
        <v>30.9</v>
      </c>
      <c r="E714">
        <f>ROUNDUP(D714, 0)</f>
        <v/>
      </c>
      <c r="F714">
        <f>IF(LOWER(C714)="covered", 10.40, 7.55)</f>
        <v/>
      </c>
      <c r="G714">
        <f>E714*F714</f>
        <v/>
      </c>
      <c r="H714" t="n">
        <v>302</v>
      </c>
      <c r="I714">
        <f>G714-H714</f>
        <v/>
      </c>
    </row>
    <row r="715">
      <c r="A715" t="inlineStr">
        <is>
          <t>GW-0211</t>
        </is>
      </c>
      <c r="B715" t="inlineStr">
        <is>
          <t>Gullwing</t>
        </is>
      </c>
      <c r="C715" t="inlineStr">
        <is>
          <t>open</t>
        </is>
      </c>
      <c r="D715" t="n">
        <v>22.7</v>
      </c>
      <c r="E715">
        <f>ROUNDUP(D715, 0)</f>
        <v/>
      </c>
      <c r="F715">
        <f>IF(LOWER(C715)="covered", 10.40, 7.55)</f>
        <v/>
      </c>
      <c r="G715">
        <f>E715*F715</f>
        <v/>
      </c>
      <c r="H715" t="n">
        <v>211.4</v>
      </c>
      <c r="I715">
        <f>G715-H715</f>
        <v/>
      </c>
    </row>
    <row r="716">
      <c r="A716" t="inlineStr">
        <is>
          <t>GW-0212</t>
        </is>
      </c>
      <c r="B716" t="inlineStr">
        <is>
          <t>Gullwing</t>
        </is>
      </c>
      <c r="C716" t="inlineStr">
        <is>
          <t>open</t>
        </is>
      </c>
      <c r="D716" t="n">
        <v>31.8</v>
      </c>
      <c r="E716">
        <f>ROUNDUP(D716, 0)</f>
        <v/>
      </c>
      <c r="F716">
        <f>IF(LOWER(C716)="covered", 10.40, 7.55)</f>
        <v/>
      </c>
      <c r="G716">
        <f>E716*F716</f>
        <v/>
      </c>
      <c r="H716" t="n">
        <v>453</v>
      </c>
      <c r="I716">
        <f>G716-H716</f>
        <v/>
      </c>
    </row>
    <row r="717">
      <c r="A717" t="inlineStr">
        <is>
          <t>GW-0213</t>
        </is>
      </c>
      <c r="B717" t="inlineStr">
        <is>
          <t>Gullwing</t>
        </is>
      </c>
      <c r="C717" t="inlineStr">
        <is>
          <t>open</t>
        </is>
      </c>
      <c r="D717" t="n">
        <v>28.3</v>
      </c>
      <c r="E717">
        <f>ROUNDUP(D717, 0)</f>
        <v/>
      </c>
      <c r="F717">
        <f>IF(LOWER(C717)="covered", 10.40, 7.55)</f>
        <v/>
      </c>
      <c r="G717">
        <f>E717*F717</f>
        <v/>
      </c>
      <c r="H717" t="n">
        <v>218.95</v>
      </c>
      <c r="I717">
        <f>G717-H717</f>
        <v/>
      </c>
    </row>
    <row r="718">
      <c r="A718" t="inlineStr">
        <is>
          <t>GW-0214</t>
        </is>
      </c>
      <c r="B718" t="inlineStr">
        <is>
          <t>Gullwing</t>
        </is>
      </c>
      <c r="C718" t="inlineStr">
        <is>
          <t>open</t>
        </is>
      </c>
      <c r="D718" t="n">
        <v>25.2</v>
      </c>
      <c r="E718">
        <f>ROUNDUP(D718, 0)</f>
        <v/>
      </c>
      <c r="F718">
        <f>IF(LOWER(C718)="covered", 10.40, 7.55)</f>
        <v/>
      </c>
      <c r="G718">
        <f>E718*F718</f>
        <v/>
      </c>
      <c r="H718" t="n">
        <v>196.3</v>
      </c>
      <c r="I718">
        <f>G718-H718</f>
        <v/>
      </c>
    </row>
    <row r="719">
      <c r="A719" t="inlineStr">
        <is>
          <t>GW-0215</t>
        </is>
      </c>
      <c r="B719" t="inlineStr">
        <is>
          <t>Gullwing</t>
        </is>
      </c>
      <c r="C719" t="inlineStr">
        <is>
          <t>open</t>
        </is>
      </c>
      <c r="D719" t="n">
        <v>33.7</v>
      </c>
      <c r="E719">
        <f>ROUNDUP(D719, 0)</f>
        <v/>
      </c>
      <c r="F719">
        <f>IF(LOWER(C719)="covered", 10.40, 7.55)</f>
        <v/>
      </c>
      <c r="G719">
        <f>E719*F719</f>
        <v/>
      </c>
      <c r="H719" t="n">
        <v>256.7</v>
      </c>
      <c r="I719">
        <f>G719-H719</f>
        <v/>
      </c>
    </row>
    <row r="720">
      <c r="A720" t="inlineStr">
        <is>
          <t>GW-0216</t>
        </is>
      </c>
      <c r="B720" t="inlineStr">
        <is>
          <t>Gullwing</t>
        </is>
      </c>
      <c r="C720" t="inlineStr">
        <is>
          <t>open</t>
        </is>
      </c>
      <c r="D720" t="n">
        <v>42.5</v>
      </c>
      <c r="E720">
        <f>ROUNDUP(D720, 0)</f>
        <v/>
      </c>
      <c r="F720">
        <f>IF(LOWER(C720)="covered", 10.40, 7.55)</f>
        <v/>
      </c>
      <c r="G720">
        <f>E720*F720</f>
        <v/>
      </c>
      <c r="H720" t="n">
        <v>604</v>
      </c>
      <c r="I720">
        <f>G720-H720</f>
        <v/>
      </c>
    </row>
    <row r="721">
      <c r="A721" t="inlineStr">
        <is>
          <t>GW-0217</t>
        </is>
      </c>
      <c r="B721" t="inlineStr">
        <is>
          <t>Gullwing</t>
        </is>
      </c>
      <c r="C721" t="inlineStr">
        <is>
          <t>open</t>
        </is>
      </c>
      <c r="D721" t="n">
        <v>58.7</v>
      </c>
      <c r="E721">
        <f>ROUNDUP(D721, 0)</f>
        <v/>
      </c>
      <c r="F721">
        <f>IF(LOWER(C721)="covered", 10.40, 7.55)</f>
        <v/>
      </c>
      <c r="G721">
        <f>E721*F721</f>
        <v/>
      </c>
      <c r="H721" t="n">
        <v>604</v>
      </c>
      <c r="I721">
        <f>G721-H721</f>
        <v/>
      </c>
    </row>
    <row r="722">
      <c r="A722" t="inlineStr">
        <is>
          <t>GW-0218</t>
        </is>
      </c>
      <c r="B722" t="inlineStr">
        <is>
          <t>Gullwing</t>
        </is>
      </c>
      <c r="C722" t="inlineStr">
        <is>
          <t>open</t>
        </is>
      </c>
      <c r="D722" t="n">
        <v>56.1</v>
      </c>
      <c r="E722">
        <f>ROUNDUP(D722, 0)</f>
        <v/>
      </c>
      <c r="F722">
        <f>IF(LOWER(C722)="covered", 10.40, 7.55)</f>
        <v/>
      </c>
      <c r="G722">
        <f>E722*F722</f>
        <v/>
      </c>
      <c r="H722" t="n">
        <v>453</v>
      </c>
      <c r="I722">
        <f>G722-H722</f>
        <v/>
      </c>
    </row>
    <row r="723">
      <c r="A723" t="inlineStr">
        <is>
          <t>GW-0220</t>
        </is>
      </c>
      <c r="B723" t="inlineStr">
        <is>
          <t>Gullwing</t>
        </is>
      </c>
      <c r="C723" t="inlineStr">
        <is>
          <t>open</t>
        </is>
      </c>
      <c r="D723" t="n">
        <v>54.9</v>
      </c>
      <c r="E723">
        <f>ROUNDUP(D723, 0)</f>
        <v/>
      </c>
      <c r="F723">
        <f>IF(LOWER(C723)="covered", 10.40, 7.55)</f>
        <v/>
      </c>
      <c r="G723">
        <f>E723*F723</f>
        <v/>
      </c>
      <c r="H723" t="n">
        <v>453</v>
      </c>
      <c r="I723">
        <f>G723-H723</f>
        <v/>
      </c>
    </row>
    <row r="724">
      <c r="A724" t="inlineStr">
        <is>
          <t>GW-0221</t>
        </is>
      </c>
      <c r="B724" t="inlineStr">
        <is>
          <t>Gullwing</t>
        </is>
      </c>
      <c r="C724" t="inlineStr">
        <is>
          <t>open</t>
        </is>
      </c>
      <c r="D724" t="n">
        <v>31.6</v>
      </c>
      <c r="E724">
        <f>ROUNDUP(D724, 0)</f>
        <v/>
      </c>
      <c r="F724">
        <f>IF(LOWER(C724)="covered", 10.40, 7.55)</f>
        <v/>
      </c>
      <c r="G724">
        <f>E724*F724</f>
        <v/>
      </c>
      <c r="H724" t="n">
        <v>604</v>
      </c>
      <c r="I724">
        <f>G724-H724</f>
        <v/>
      </c>
    </row>
    <row r="725">
      <c r="A725" t="inlineStr">
        <is>
          <t>GW-0222</t>
        </is>
      </c>
      <c r="B725" t="inlineStr">
        <is>
          <t>Gullwing</t>
        </is>
      </c>
      <c r="C725" t="inlineStr">
        <is>
          <t>open</t>
        </is>
      </c>
      <c r="D725" t="n">
        <v>29.9</v>
      </c>
      <c r="E725">
        <f>ROUNDUP(D725, 0)</f>
        <v/>
      </c>
      <c r="F725">
        <f>IF(LOWER(C725)="covered", 10.40, 7.55)</f>
        <v/>
      </c>
      <c r="G725">
        <f>E725*F725</f>
        <v/>
      </c>
      <c r="H725" t="n">
        <v>453</v>
      </c>
      <c r="I725">
        <f>G725-H725</f>
        <v/>
      </c>
    </row>
    <row r="726">
      <c r="A726" t="inlineStr">
        <is>
          <t>GW-0223</t>
        </is>
      </c>
      <c r="B726" t="inlineStr">
        <is>
          <t>Gullwing</t>
        </is>
      </c>
      <c r="C726" t="inlineStr">
        <is>
          <t>open</t>
        </is>
      </c>
      <c r="D726" t="n">
        <v>45.5</v>
      </c>
      <c r="E726">
        <f>ROUNDUP(D726, 0)</f>
        <v/>
      </c>
      <c r="F726">
        <f>IF(LOWER(C726)="covered", 10.40, 7.55)</f>
        <v/>
      </c>
      <c r="G726">
        <f>E726*F726</f>
        <v/>
      </c>
      <c r="H726" t="n">
        <v>347.3</v>
      </c>
      <c r="I726">
        <f>G726-H726</f>
        <v/>
      </c>
    </row>
    <row r="727">
      <c r="A727" t="inlineStr">
        <is>
          <t>GW-0301</t>
        </is>
      </c>
      <c r="B727" t="inlineStr">
        <is>
          <t>Gullwing</t>
        </is>
      </c>
      <c r="C727" t="inlineStr">
        <is>
          <t>open</t>
        </is>
      </c>
      <c r="D727" t="n">
        <v>32.4</v>
      </c>
      <c r="E727">
        <f>ROUNDUP(D727, 0)</f>
        <v/>
      </c>
      <c r="F727">
        <f>IF(LOWER(C727)="covered", 10.40, 7.55)</f>
        <v/>
      </c>
      <c r="G727">
        <f>E727*F727</f>
        <v/>
      </c>
      <c r="H727" t="n">
        <v>249.15</v>
      </c>
      <c r="I727">
        <f>G727-H727</f>
        <v/>
      </c>
    </row>
    <row r="728">
      <c r="A728" t="inlineStr">
        <is>
          <t>GW-0302</t>
        </is>
      </c>
      <c r="B728" t="inlineStr">
        <is>
          <t>Gullwing</t>
        </is>
      </c>
      <c r="C728" t="inlineStr">
        <is>
          <t>open</t>
        </is>
      </c>
      <c r="D728" t="n">
        <v>55.3</v>
      </c>
      <c r="E728">
        <f>ROUNDUP(D728, 0)</f>
        <v/>
      </c>
      <c r="F728">
        <f>IF(LOWER(C728)="covered", 10.40, 7.55)</f>
        <v/>
      </c>
      <c r="G728">
        <f>E728*F728</f>
        <v/>
      </c>
      <c r="H728" t="n">
        <v>422.8</v>
      </c>
      <c r="I728">
        <f>G728-H728</f>
        <v/>
      </c>
    </row>
    <row r="729">
      <c r="A729" t="inlineStr">
        <is>
          <t>GW-0303</t>
        </is>
      </c>
      <c r="B729" t="inlineStr">
        <is>
          <t>Gullwing</t>
        </is>
      </c>
      <c r="C729" t="inlineStr">
        <is>
          <t>open</t>
        </is>
      </c>
      <c r="D729" t="n">
        <v>29.9</v>
      </c>
      <c r="E729">
        <f>ROUNDUP(D729, 0)</f>
        <v/>
      </c>
      <c r="F729">
        <f>IF(LOWER(C729)="covered", 10.40, 7.55)</f>
        <v/>
      </c>
      <c r="G729">
        <f>E729*F729</f>
        <v/>
      </c>
      <c r="H729" t="n">
        <v>226.5</v>
      </c>
      <c r="I729">
        <f>G729-H729</f>
        <v/>
      </c>
    </row>
    <row r="730">
      <c r="A730" t="inlineStr">
        <is>
          <t>GW-0304</t>
        </is>
      </c>
      <c r="B730" t="inlineStr">
        <is>
          <t>Gullwing</t>
        </is>
      </c>
      <c r="C730" t="inlineStr">
        <is>
          <t>open</t>
        </is>
      </c>
      <c r="D730" t="n">
        <v>35.3</v>
      </c>
      <c r="E730">
        <f>ROUNDUP(D730, 0)</f>
        <v/>
      </c>
      <c r="F730">
        <f>IF(LOWER(C730)="covered", 10.40, 7.55)</f>
        <v/>
      </c>
      <c r="G730">
        <f>E730*F730</f>
        <v/>
      </c>
      <c r="H730" t="n">
        <v>271.8</v>
      </c>
      <c r="I730">
        <f>G730-H730</f>
        <v/>
      </c>
    </row>
    <row r="731">
      <c r="A731" t="inlineStr">
        <is>
          <t>GW-0305</t>
        </is>
      </c>
      <c r="B731" t="inlineStr">
        <is>
          <t>Gullwing</t>
        </is>
      </c>
      <c r="C731" t="inlineStr">
        <is>
          <t>open</t>
        </is>
      </c>
      <c r="D731" t="n">
        <v>60</v>
      </c>
      <c r="E731">
        <f>ROUNDUP(D731, 0)</f>
        <v/>
      </c>
      <c r="F731">
        <f>IF(LOWER(C731)="covered", 10.40, 7.55)</f>
        <v/>
      </c>
      <c r="G731">
        <f>E731*F731</f>
        <v/>
      </c>
      <c r="H731" t="n">
        <v>604</v>
      </c>
      <c r="I731">
        <f>G731-H731</f>
        <v/>
      </c>
    </row>
    <row r="732">
      <c r="A732" t="inlineStr">
        <is>
          <t>GW-0306</t>
        </is>
      </c>
      <c r="B732" t="inlineStr">
        <is>
          <t>Gullwing</t>
        </is>
      </c>
      <c r="C732" t="inlineStr">
        <is>
          <t>open</t>
        </is>
      </c>
      <c r="D732" t="n">
        <v>46.9</v>
      </c>
      <c r="E732">
        <f>ROUNDUP(D732, 0)</f>
        <v/>
      </c>
      <c r="F732">
        <f>IF(LOWER(C732)="covered", 10.40, 7.55)</f>
        <v/>
      </c>
      <c r="G732">
        <f>E732*F732</f>
        <v/>
      </c>
      <c r="H732" t="n">
        <v>354.85</v>
      </c>
      <c r="I732">
        <f>G732-H732</f>
        <v/>
      </c>
    </row>
    <row r="733">
      <c r="A733" t="inlineStr">
        <is>
          <t>GW-0307</t>
        </is>
      </c>
      <c r="B733" t="inlineStr">
        <is>
          <t>Gullwing</t>
        </is>
      </c>
      <c r="C733" t="inlineStr">
        <is>
          <t>open</t>
        </is>
      </c>
      <c r="D733" t="n">
        <v>41.2</v>
      </c>
      <c r="E733">
        <f>ROUNDUP(D733, 0)</f>
        <v/>
      </c>
      <c r="F733">
        <f>IF(LOWER(C733)="covered", 10.40, 7.55)</f>
        <v/>
      </c>
      <c r="G733">
        <f>E733*F733</f>
        <v/>
      </c>
      <c r="H733" t="n">
        <v>317.1</v>
      </c>
      <c r="I733">
        <f>G733-H733</f>
        <v/>
      </c>
    </row>
    <row r="734">
      <c r="A734" t="inlineStr">
        <is>
          <t>GW-0308</t>
        </is>
      </c>
      <c r="B734" t="inlineStr">
        <is>
          <t>Gullwing</t>
        </is>
      </c>
      <c r="C734" t="inlineStr">
        <is>
          <t>open</t>
        </is>
      </c>
      <c r="D734" t="n">
        <v>51.5</v>
      </c>
      <c r="E734">
        <f>ROUNDUP(D734, 0)</f>
        <v/>
      </c>
      <c r="F734">
        <f>IF(LOWER(C734)="covered", 10.40, 7.55)</f>
        <v/>
      </c>
      <c r="G734">
        <f>E734*F734</f>
        <v/>
      </c>
      <c r="H734" t="n">
        <v>453</v>
      </c>
      <c r="I734">
        <f>G734-H734</f>
        <v/>
      </c>
    </row>
    <row r="735">
      <c r="A735" t="inlineStr">
        <is>
          <t>GW-0309</t>
        </is>
      </c>
      <c r="B735" t="inlineStr">
        <is>
          <t>Gullwing</t>
        </is>
      </c>
      <c r="C735" t="inlineStr">
        <is>
          <t>open</t>
        </is>
      </c>
      <c r="D735" t="n">
        <v>48.5</v>
      </c>
      <c r="E735">
        <f>ROUNDUP(D735, 0)</f>
        <v/>
      </c>
      <c r="F735">
        <f>IF(LOWER(C735)="covered", 10.40, 7.55)</f>
        <v/>
      </c>
      <c r="G735">
        <f>E735*F735</f>
        <v/>
      </c>
      <c r="H735" t="n">
        <v>369.95</v>
      </c>
      <c r="I735">
        <f>G735-H735</f>
        <v/>
      </c>
    </row>
    <row r="736">
      <c r="A736" t="inlineStr">
        <is>
          <t>GW-0310</t>
        </is>
      </c>
      <c r="B736" t="inlineStr">
        <is>
          <t>Gullwing</t>
        </is>
      </c>
      <c r="C736" t="inlineStr">
        <is>
          <t>open</t>
        </is>
      </c>
      <c r="D736" t="n">
        <v>20.4</v>
      </c>
      <c r="E736">
        <f>ROUNDUP(D736, 0)</f>
        <v/>
      </c>
      <c r="F736">
        <f>IF(LOWER(C736)="covered", 10.40, 7.55)</f>
        <v/>
      </c>
      <c r="G736">
        <f>E736*F736</f>
        <v/>
      </c>
      <c r="H736" t="n">
        <v>271.8</v>
      </c>
      <c r="I736">
        <f>G736-H736</f>
        <v/>
      </c>
    </row>
    <row r="737">
      <c r="A737" t="inlineStr">
        <is>
          <t>GW-0312</t>
        </is>
      </c>
      <c r="B737" t="inlineStr">
        <is>
          <t>Gullwing</t>
        </is>
      </c>
      <c r="C737" t="inlineStr">
        <is>
          <t>open</t>
        </is>
      </c>
      <c r="D737" t="n">
        <v>51.7</v>
      </c>
      <c r="E737">
        <f>ROUNDUP(D737, 0)</f>
        <v/>
      </c>
      <c r="F737">
        <f>IF(LOWER(C737)="covered", 10.40, 7.55)</f>
        <v/>
      </c>
      <c r="G737">
        <f>E737*F737</f>
        <v/>
      </c>
      <c r="H737" t="n">
        <v>528.5</v>
      </c>
      <c r="I737">
        <f>G737-H737</f>
        <v/>
      </c>
    </row>
    <row r="738">
      <c r="A738" t="inlineStr">
        <is>
          <t>GW-0313</t>
        </is>
      </c>
      <c r="B738" t="inlineStr">
        <is>
          <t>Gullwing</t>
        </is>
      </c>
      <c r="C738" t="inlineStr">
        <is>
          <t>open</t>
        </is>
      </c>
      <c r="D738" t="n">
        <v>60.7</v>
      </c>
      <c r="E738">
        <f>ROUNDUP(D738, 0)</f>
        <v/>
      </c>
      <c r="F738">
        <f>IF(LOWER(C738)="covered", 10.40, 7.55)</f>
        <v/>
      </c>
      <c r="G738">
        <f>E738*F738</f>
        <v/>
      </c>
      <c r="H738" t="n">
        <v>460.55</v>
      </c>
      <c r="I738">
        <f>G738-H738</f>
        <v/>
      </c>
    </row>
    <row r="739">
      <c r="A739" t="inlineStr">
        <is>
          <t>GW-0315</t>
        </is>
      </c>
      <c r="B739" t="inlineStr">
        <is>
          <t>Gullwing</t>
        </is>
      </c>
      <c r="C739" t="inlineStr">
        <is>
          <t>open</t>
        </is>
      </c>
      <c r="D739" t="n">
        <v>58.4</v>
      </c>
      <c r="E739">
        <f>ROUNDUP(D739, 0)</f>
        <v/>
      </c>
      <c r="F739">
        <f>IF(LOWER(C739)="covered", 10.40, 7.55)</f>
        <v/>
      </c>
      <c r="G739">
        <f>E739*F739</f>
        <v/>
      </c>
      <c r="H739" t="n">
        <v>445.45</v>
      </c>
      <c r="I739">
        <f>G739-H739</f>
        <v/>
      </c>
    </row>
    <row r="740">
      <c r="A740" t="inlineStr">
        <is>
          <t>GW-0316</t>
        </is>
      </c>
      <c r="B740" t="inlineStr">
        <is>
          <t>Gullwing</t>
        </is>
      </c>
      <c r="C740" t="inlineStr">
        <is>
          <t>open</t>
        </is>
      </c>
      <c r="D740" t="n">
        <v>25.6</v>
      </c>
      <c r="E740">
        <f>ROUNDUP(D740, 0)</f>
        <v/>
      </c>
      <c r="F740">
        <f>IF(LOWER(C740)="covered", 10.40, 7.55)</f>
        <v/>
      </c>
      <c r="G740">
        <f>E740*F740</f>
        <v/>
      </c>
      <c r="H740" t="n">
        <v>241.6</v>
      </c>
      <c r="I740">
        <f>G740-H740</f>
        <v/>
      </c>
    </row>
    <row r="741">
      <c r="A741" t="inlineStr">
        <is>
          <t>GW-0317</t>
        </is>
      </c>
      <c r="B741" t="inlineStr">
        <is>
          <t>Gullwing</t>
        </is>
      </c>
      <c r="C741" t="inlineStr">
        <is>
          <t>open</t>
        </is>
      </c>
      <c r="D741" t="n">
        <v>58.8</v>
      </c>
      <c r="E741">
        <f>ROUNDUP(D741, 0)</f>
        <v/>
      </c>
      <c r="F741">
        <f>IF(LOWER(C741)="covered", 10.40, 7.55)</f>
        <v/>
      </c>
      <c r="G741">
        <f>E741*F741</f>
        <v/>
      </c>
      <c r="H741" t="n">
        <v>445.45</v>
      </c>
      <c r="I741">
        <f>G741-H741</f>
        <v/>
      </c>
    </row>
    <row r="742">
      <c r="A742" t="inlineStr">
        <is>
          <t>GW-0318</t>
        </is>
      </c>
      <c r="B742" t="inlineStr">
        <is>
          <t>Gullwing</t>
        </is>
      </c>
      <c r="C742" t="inlineStr">
        <is>
          <t>open</t>
        </is>
      </c>
      <c r="D742" t="n">
        <v>32.1</v>
      </c>
      <c r="E742">
        <f>ROUNDUP(D742, 0)</f>
        <v/>
      </c>
      <c r="F742">
        <f>IF(LOWER(C742)="covered", 10.40, 7.55)</f>
        <v/>
      </c>
      <c r="G742">
        <f>E742*F742</f>
        <v/>
      </c>
      <c r="H742" t="n">
        <v>249.15</v>
      </c>
      <c r="I742">
        <f>G742-H742</f>
        <v/>
      </c>
    </row>
    <row r="743">
      <c r="A743" t="inlineStr">
        <is>
          <t>GW-0320</t>
        </is>
      </c>
      <c r="B743" t="inlineStr">
        <is>
          <t>Gullwing</t>
        </is>
      </c>
      <c r="C743" t="inlineStr">
        <is>
          <t>open</t>
        </is>
      </c>
      <c r="D743" t="n">
        <v>42.3</v>
      </c>
      <c r="E743">
        <f>ROUNDUP(D743, 0)</f>
        <v/>
      </c>
      <c r="F743">
        <f>IF(LOWER(C743)="covered", 10.40, 7.55)</f>
        <v/>
      </c>
      <c r="G743">
        <f>E743*F743</f>
        <v/>
      </c>
      <c r="H743" t="n">
        <v>324.65</v>
      </c>
      <c r="I743">
        <f>G743-H743</f>
        <v/>
      </c>
    </row>
    <row r="744">
      <c r="A744" t="inlineStr">
        <is>
          <t>GW-0321</t>
        </is>
      </c>
      <c r="B744" t="inlineStr">
        <is>
          <t>Gullwing</t>
        </is>
      </c>
      <c r="C744" t="inlineStr">
        <is>
          <t>open</t>
        </is>
      </c>
      <c r="D744" t="n">
        <v>58</v>
      </c>
      <c r="E744">
        <f>ROUNDUP(D744, 0)</f>
        <v/>
      </c>
      <c r="F744">
        <f>IF(LOWER(C744)="covered", 10.40, 7.55)</f>
        <v/>
      </c>
      <c r="G744">
        <f>E744*F744</f>
        <v/>
      </c>
      <c r="H744" t="n">
        <v>437.9</v>
      </c>
      <c r="I744">
        <f>G744-H744</f>
        <v/>
      </c>
    </row>
    <row r="745">
      <c r="A745" t="inlineStr">
        <is>
          <t>GW-0322</t>
        </is>
      </c>
      <c r="B745" t="inlineStr">
        <is>
          <t>Gullwing</t>
        </is>
      </c>
      <c r="C745" t="inlineStr">
        <is>
          <t>open</t>
        </is>
      </c>
      <c r="D745" t="n">
        <v>30.1</v>
      </c>
      <c r="E745">
        <f>ROUNDUP(D745, 0)</f>
        <v/>
      </c>
      <c r="F745">
        <f>IF(LOWER(C745)="covered", 10.40, 7.55)</f>
        <v/>
      </c>
      <c r="G745">
        <f>E745*F745</f>
        <v/>
      </c>
      <c r="H745" t="n">
        <v>339.75</v>
      </c>
      <c r="I745">
        <f>G745-H745</f>
        <v/>
      </c>
    </row>
    <row r="746">
      <c r="A746" t="inlineStr">
        <is>
          <t>GW-0323</t>
        </is>
      </c>
      <c r="B746" t="inlineStr">
        <is>
          <t>Gullwing</t>
        </is>
      </c>
      <c r="C746" t="inlineStr">
        <is>
          <t>open</t>
        </is>
      </c>
      <c r="D746" t="n">
        <v>54.2</v>
      </c>
      <c r="E746">
        <f>ROUNDUP(D746, 0)</f>
        <v/>
      </c>
      <c r="F746">
        <f>IF(LOWER(C746)="covered", 10.40, 7.55)</f>
        <v/>
      </c>
      <c r="G746">
        <f>E746*F746</f>
        <v/>
      </c>
      <c r="H746" t="n">
        <v>604</v>
      </c>
      <c r="I746">
        <f>G746-H746</f>
        <v/>
      </c>
    </row>
    <row r="747">
      <c r="A747" t="inlineStr">
        <is>
          <t>GW-0401</t>
        </is>
      </c>
      <c r="B747" t="inlineStr">
        <is>
          <t>Gullwing</t>
        </is>
      </c>
      <c r="C747" t="inlineStr">
        <is>
          <t>open</t>
        </is>
      </c>
      <c r="D747" t="n">
        <v>40.3</v>
      </c>
      <c r="E747">
        <f>ROUNDUP(D747, 0)</f>
        <v/>
      </c>
      <c r="F747">
        <f>IF(LOWER(C747)="covered", 10.40, 7.55)</f>
        <v/>
      </c>
      <c r="G747">
        <f>E747*F747</f>
        <v/>
      </c>
      <c r="H747" t="n">
        <v>339.75</v>
      </c>
      <c r="I747">
        <f>G747-H747</f>
        <v/>
      </c>
    </row>
    <row r="748">
      <c r="A748" t="inlineStr">
        <is>
          <t>GW-0402</t>
        </is>
      </c>
      <c r="B748" t="inlineStr">
        <is>
          <t>Gullwing</t>
        </is>
      </c>
      <c r="C748" t="inlineStr">
        <is>
          <t>open</t>
        </is>
      </c>
      <c r="D748" t="n">
        <v>33.6</v>
      </c>
      <c r="E748">
        <f>ROUNDUP(D748, 0)</f>
        <v/>
      </c>
      <c r="F748">
        <f>IF(LOWER(C748)="covered", 10.40, 7.55)</f>
        <v/>
      </c>
      <c r="G748">
        <f>E748*F748</f>
        <v/>
      </c>
      <c r="H748" t="n">
        <v>256.7</v>
      </c>
      <c r="I748">
        <f>G748-H748</f>
        <v/>
      </c>
    </row>
    <row r="749">
      <c r="A749" t="inlineStr">
        <is>
          <t>GW-0403</t>
        </is>
      </c>
      <c r="B749" t="inlineStr">
        <is>
          <t>Gullwing</t>
        </is>
      </c>
      <c r="C749" t="inlineStr">
        <is>
          <t>open</t>
        </is>
      </c>
      <c r="D749" t="n">
        <v>26.3</v>
      </c>
      <c r="E749">
        <f>ROUNDUP(D749, 0)</f>
        <v/>
      </c>
      <c r="F749">
        <f>IF(LOWER(C749)="covered", 10.40, 7.55)</f>
        <v/>
      </c>
      <c r="G749">
        <f>E749*F749</f>
        <v/>
      </c>
      <c r="H749" t="n">
        <v>241.6</v>
      </c>
      <c r="I749">
        <f>G749-H749</f>
        <v/>
      </c>
    </row>
    <row r="750">
      <c r="A750" t="inlineStr">
        <is>
          <t>GW-0404</t>
        </is>
      </c>
      <c r="B750" t="inlineStr">
        <is>
          <t>Gullwing</t>
        </is>
      </c>
      <c r="C750" t="inlineStr">
        <is>
          <t>open</t>
        </is>
      </c>
      <c r="D750" t="n">
        <v>38.1</v>
      </c>
      <c r="E750">
        <f>ROUNDUP(D750, 0)</f>
        <v/>
      </c>
      <c r="F750">
        <f>IF(LOWER(C750)="covered", 10.40, 7.55)</f>
        <v/>
      </c>
      <c r="G750">
        <f>E750*F750</f>
        <v/>
      </c>
      <c r="H750" t="n">
        <v>453</v>
      </c>
      <c r="I750">
        <f>G750-H750</f>
        <v/>
      </c>
    </row>
    <row r="751">
      <c r="A751" t="inlineStr">
        <is>
          <t>GW-0405</t>
        </is>
      </c>
      <c r="B751" t="inlineStr">
        <is>
          <t>Gullwing</t>
        </is>
      </c>
      <c r="C751" t="inlineStr">
        <is>
          <t>open</t>
        </is>
      </c>
      <c r="D751" t="n">
        <v>31.8</v>
      </c>
      <c r="E751">
        <f>ROUNDUP(D751, 0)</f>
        <v/>
      </c>
      <c r="F751">
        <f>IF(LOWER(C751)="covered", 10.40, 7.55)</f>
        <v/>
      </c>
      <c r="G751">
        <f>E751*F751</f>
        <v/>
      </c>
      <c r="H751" t="n">
        <v>339.75</v>
      </c>
      <c r="I751">
        <f>G751-H751</f>
        <v/>
      </c>
    </row>
    <row r="752">
      <c r="A752" t="inlineStr">
        <is>
          <t>GW-0406</t>
        </is>
      </c>
      <c r="B752" t="inlineStr">
        <is>
          <t>Gullwing</t>
        </is>
      </c>
      <c r="C752" t="inlineStr">
        <is>
          <t>open</t>
        </is>
      </c>
      <c r="D752" t="n">
        <v>61.4</v>
      </c>
      <c r="E752">
        <f>ROUNDUP(D752, 0)</f>
        <v/>
      </c>
      <c r="F752">
        <f>IF(LOWER(C752)="covered", 10.40, 7.55)</f>
        <v/>
      </c>
      <c r="G752">
        <f>E752*F752</f>
        <v/>
      </c>
      <c r="H752" t="n">
        <v>468.1</v>
      </c>
      <c r="I752">
        <f>G752-H752</f>
        <v/>
      </c>
    </row>
    <row r="753">
      <c r="A753" t="inlineStr">
        <is>
          <t>GW-0407</t>
        </is>
      </c>
      <c r="B753" t="inlineStr">
        <is>
          <t>Gullwing</t>
        </is>
      </c>
      <c r="C753" t="inlineStr">
        <is>
          <t>open</t>
        </is>
      </c>
      <c r="D753" t="n">
        <v>23.5</v>
      </c>
      <c r="E753">
        <f>ROUNDUP(D753, 0)</f>
        <v/>
      </c>
      <c r="F753">
        <f>IF(LOWER(C753)="covered", 10.40, 7.55)</f>
        <v/>
      </c>
      <c r="G753">
        <f>E753*F753</f>
        <v/>
      </c>
      <c r="H753" t="n">
        <v>339.75</v>
      </c>
      <c r="I753">
        <f>G753-H753</f>
        <v/>
      </c>
    </row>
    <row r="754">
      <c r="A754" t="inlineStr">
        <is>
          <t>GW-0408</t>
        </is>
      </c>
      <c r="B754" t="inlineStr">
        <is>
          <t>Gullwing</t>
        </is>
      </c>
      <c r="C754" t="inlineStr">
        <is>
          <t>open</t>
        </is>
      </c>
      <c r="D754" t="n">
        <v>21</v>
      </c>
      <c r="E754">
        <f>ROUNDUP(D754, 0)</f>
        <v/>
      </c>
      <c r="F754">
        <f>IF(LOWER(C754)="covered", 10.40, 7.55)</f>
        <v/>
      </c>
      <c r="G754">
        <f>E754*F754</f>
        <v/>
      </c>
      <c r="H754" t="n">
        <v>211.4</v>
      </c>
      <c r="I754">
        <f>G754-H754</f>
        <v/>
      </c>
    </row>
    <row r="755">
      <c r="A755" t="inlineStr">
        <is>
          <t>GW-0409</t>
        </is>
      </c>
      <c r="B755" t="inlineStr">
        <is>
          <t>Gullwing</t>
        </is>
      </c>
      <c r="C755" t="inlineStr">
        <is>
          <t>open</t>
        </is>
      </c>
      <c r="D755" t="n">
        <v>55.5</v>
      </c>
      <c r="E755">
        <f>ROUNDUP(D755, 0)</f>
        <v/>
      </c>
      <c r="F755">
        <f>IF(LOWER(C755)="covered", 10.40, 7.55)</f>
        <v/>
      </c>
      <c r="G755">
        <f>E755*F755</f>
        <v/>
      </c>
      <c r="H755" t="n">
        <v>422.8</v>
      </c>
      <c r="I755">
        <f>G755-H755</f>
        <v/>
      </c>
    </row>
    <row r="756">
      <c r="A756" t="inlineStr">
        <is>
          <t>GW-0410</t>
        </is>
      </c>
      <c r="B756" t="inlineStr">
        <is>
          <t>Gullwing</t>
        </is>
      </c>
      <c r="C756" t="inlineStr">
        <is>
          <t>open</t>
        </is>
      </c>
      <c r="D756" t="n">
        <v>40.2</v>
      </c>
      <c r="E756">
        <f>ROUNDUP(D756, 0)</f>
        <v/>
      </c>
      <c r="F756">
        <f>IF(LOWER(C756)="covered", 10.40, 7.55)</f>
        <v/>
      </c>
      <c r="G756">
        <f>E756*F756</f>
        <v/>
      </c>
      <c r="H756" t="n">
        <v>528.5</v>
      </c>
      <c r="I756">
        <f>G756-H756</f>
        <v/>
      </c>
    </row>
    <row r="757">
      <c r="A757" t="inlineStr">
        <is>
          <t>GW-0411</t>
        </is>
      </c>
      <c r="B757" t="inlineStr">
        <is>
          <t>Gullwing</t>
        </is>
      </c>
      <c r="C757" t="inlineStr">
        <is>
          <t>open</t>
        </is>
      </c>
      <c r="D757" t="n">
        <v>48.1</v>
      </c>
      <c r="E757">
        <f>ROUNDUP(D757, 0)</f>
        <v/>
      </c>
      <c r="F757">
        <f>IF(LOWER(C757)="covered", 10.40, 7.55)</f>
        <v/>
      </c>
      <c r="G757">
        <f>E757*F757</f>
        <v/>
      </c>
      <c r="H757" t="n">
        <v>369.95</v>
      </c>
      <c r="I757">
        <f>G757-H757</f>
        <v/>
      </c>
    </row>
    <row r="758">
      <c r="A758" t="inlineStr">
        <is>
          <t>GW-0412</t>
        </is>
      </c>
      <c r="B758" t="inlineStr">
        <is>
          <t>Gullwing</t>
        </is>
      </c>
      <c r="C758" t="inlineStr">
        <is>
          <t>open</t>
        </is>
      </c>
      <c r="D758" t="n">
        <v>35.1</v>
      </c>
      <c r="E758">
        <f>ROUNDUP(D758, 0)</f>
        <v/>
      </c>
      <c r="F758">
        <f>IF(LOWER(C758)="covered", 10.40, 7.55)</f>
        <v/>
      </c>
      <c r="G758">
        <f>E758*F758</f>
        <v/>
      </c>
      <c r="H758" t="n">
        <v>271.8</v>
      </c>
      <c r="I758">
        <f>G758-H758</f>
        <v/>
      </c>
    </row>
    <row r="759">
      <c r="A759" t="inlineStr">
        <is>
          <t>GW-0413</t>
        </is>
      </c>
      <c r="B759" t="inlineStr">
        <is>
          <t>Gullwing</t>
        </is>
      </c>
      <c r="C759" t="inlineStr">
        <is>
          <t>open</t>
        </is>
      </c>
      <c r="D759" t="n">
        <v>24.7</v>
      </c>
      <c r="E759">
        <f>ROUNDUP(D759, 0)</f>
        <v/>
      </c>
      <c r="F759">
        <f>IF(LOWER(C759)="covered", 10.40, 7.55)</f>
        <v/>
      </c>
      <c r="G759">
        <f>E759*F759</f>
        <v/>
      </c>
      <c r="H759" t="n">
        <v>453</v>
      </c>
      <c r="I759">
        <f>G759-H759</f>
        <v/>
      </c>
    </row>
    <row r="760">
      <c r="A760" t="inlineStr">
        <is>
          <t>GW-0414</t>
        </is>
      </c>
      <c r="B760" t="inlineStr">
        <is>
          <t>Gullwing</t>
        </is>
      </c>
      <c r="C760" t="inlineStr">
        <is>
          <t>open</t>
        </is>
      </c>
      <c r="D760" t="n">
        <v>31.7</v>
      </c>
      <c r="E760">
        <f>ROUNDUP(D760, 0)</f>
        <v/>
      </c>
      <c r="F760">
        <f>IF(LOWER(C760)="covered", 10.40, 7.55)</f>
        <v/>
      </c>
      <c r="G760">
        <f>E760*F760</f>
        <v/>
      </c>
      <c r="H760" t="n">
        <v>339.75</v>
      </c>
      <c r="I760">
        <f>G760-H760</f>
        <v/>
      </c>
    </row>
    <row r="761">
      <c r="A761" t="inlineStr">
        <is>
          <t>GW-0415</t>
        </is>
      </c>
      <c r="B761" t="inlineStr">
        <is>
          <t>Gullwing</t>
        </is>
      </c>
      <c r="C761" t="inlineStr">
        <is>
          <t>open</t>
        </is>
      </c>
      <c r="D761" t="n">
        <v>47.9</v>
      </c>
      <c r="E761">
        <f>ROUNDUP(D761, 0)</f>
        <v/>
      </c>
      <c r="F761">
        <f>IF(LOWER(C761)="covered", 10.40, 7.55)</f>
        <v/>
      </c>
      <c r="G761">
        <f>E761*F761</f>
        <v/>
      </c>
      <c r="H761" t="n">
        <v>362.4</v>
      </c>
      <c r="I761">
        <f>G761-H761</f>
        <v/>
      </c>
    </row>
    <row r="762">
      <c r="A762" t="inlineStr">
        <is>
          <t>GW-0416</t>
        </is>
      </c>
      <c r="B762" t="inlineStr">
        <is>
          <t>Gullwing</t>
        </is>
      </c>
      <c r="C762" t="inlineStr">
        <is>
          <t>open</t>
        </is>
      </c>
      <c r="D762" t="n">
        <v>23.7</v>
      </c>
      <c r="E762">
        <f>ROUNDUP(D762, 0)</f>
        <v/>
      </c>
      <c r="F762">
        <f>IF(LOWER(C762)="covered", 10.40, 7.55)</f>
        <v/>
      </c>
      <c r="G762">
        <f>E762*F762</f>
        <v/>
      </c>
      <c r="H762" t="n">
        <v>241.6</v>
      </c>
      <c r="I762">
        <f>G762-H762</f>
        <v/>
      </c>
    </row>
    <row r="763">
      <c r="A763" t="inlineStr">
        <is>
          <t>GW-0417</t>
        </is>
      </c>
      <c r="B763" t="inlineStr">
        <is>
          <t>Gullwing</t>
        </is>
      </c>
      <c r="C763" t="inlineStr">
        <is>
          <t>open</t>
        </is>
      </c>
      <c r="D763" t="n">
        <v>52.8</v>
      </c>
      <c r="E763">
        <f>ROUNDUP(D763, 0)</f>
        <v/>
      </c>
      <c r="F763">
        <f>IF(LOWER(C763)="covered", 10.40, 7.55)</f>
        <v/>
      </c>
      <c r="G763">
        <f>E763*F763</f>
        <v/>
      </c>
      <c r="H763" t="n">
        <v>400.15</v>
      </c>
      <c r="I763">
        <f>G763-H763</f>
        <v/>
      </c>
    </row>
    <row r="764">
      <c r="A764" t="inlineStr">
        <is>
          <t>GW-0418</t>
        </is>
      </c>
      <c r="B764" t="inlineStr">
        <is>
          <t>Gullwing</t>
        </is>
      </c>
      <c r="C764" t="inlineStr">
        <is>
          <t>open</t>
        </is>
      </c>
      <c r="D764" t="n">
        <v>28.3</v>
      </c>
      <c r="E764">
        <f>ROUNDUP(D764, 0)</f>
        <v/>
      </c>
      <c r="F764">
        <f>IF(LOWER(C764)="covered", 10.40, 7.55)</f>
        <v/>
      </c>
      <c r="G764">
        <f>E764*F764</f>
        <v/>
      </c>
      <c r="H764" t="n">
        <v>218.95</v>
      </c>
      <c r="I764">
        <f>G764-H764</f>
        <v/>
      </c>
    </row>
    <row r="765">
      <c r="A765" t="inlineStr">
        <is>
          <t>GW-0419</t>
        </is>
      </c>
      <c r="B765" t="inlineStr">
        <is>
          <t>Gullwing</t>
        </is>
      </c>
      <c r="C765" t="inlineStr">
        <is>
          <t>open</t>
        </is>
      </c>
      <c r="D765" t="n">
        <v>27</v>
      </c>
      <c r="E765">
        <f>ROUNDUP(D765, 0)</f>
        <v/>
      </c>
      <c r="F765">
        <f>IF(LOWER(C765)="covered", 10.40, 7.55)</f>
        <v/>
      </c>
      <c r="G765">
        <f>E765*F765</f>
        <v/>
      </c>
      <c r="H765" t="n">
        <v>241.6</v>
      </c>
      <c r="I765">
        <f>G765-H765</f>
        <v/>
      </c>
    </row>
    <row r="766">
      <c r="A766" t="inlineStr">
        <is>
          <t>GW-0420</t>
        </is>
      </c>
      <c r="B766" t="inlineStr">
        <is>
          <t>Gullwing</t>
        </is>
      </c>
      <c r="C766" t="inlineStr">
        <is>
          <t>open</t>
        </is>
      </c>
      <c r="D766" t="n">
        <v>18.5</v>
      </c>
      <c r="E766">
        <f>ROUNDUP(D766, 0)</f>
        <v/>
      </c>
      <c r="F766">
        <f>IF(LOWER(C766)="covered", 10.40, 7.55)</f>
        <v/>
      </c>
      <c r="G766">
        <f>E766*F766</f>
        <v/>
      </c>
      <c r="H766" t="n">
        <v>211.4</v>
      </c>
      <c r="I766">
        <f>G766-H766</f>
        <v/>
      </c>
    </row>
    <row r="767">
      <c r="A767" t="inlineStr">
        <is>
          <t>GW-0421</t>
        </is>
      </c>
      <c r="B767" t="inlineStr">
        <is>
          <t>Gullwing</t>
        </is>
      </c>
      <c r="C767" t="inlineStr">
        <is>
          <t>open</t>
        </is>
      </c>
      <c r="D767" t="n">
        <v>46.6</v>
      </c>
      <c r="E767">
        <f>ROUNDUP(D767, 0)</f>
        <v/>
      </c>
      <c r="F767">
        <f>IF(LOWER(C767)="covered", 10.40, 7.55)</f>
        <v/>
      </c>
      <c r="G767">
        <f>E767*F767</f>
        <v/>
      </c>
      <c r="H767" t="n">
        <v>604</v>
      </c>
      <c r="I767">
        <f>G767-H767</f>
        <v/>
      </c>
    </row>
    <row r="768">
      <c r="A768" t="inlineStr">
        <is>
          <t>GW-0422</t>
        </is>
      </c>
      <c r="B768" t="inlineStr">
        <is>
          <t>Gullwing</t>
        </is>
      </c>
      <c r="C768" t="inlineStr">
        <is>
          <t>open</t>
        </is>
      </c>
      <c r="D768" t="n">
        <v>40.9</v>
      </c>
      <c r="E768">
        <f>ROUNDUP(D768, 0)</f>
        <v/>
      </c>
      <c r="F768">
        <f>IF(LOWER(C768)="covered", 10.40, 7.55)</f>
        <v/>
      </c>
      <c r="G768">
        <f>E768*F768</f>
        <v/>
      </c>
      <c r="H768" t="n">
        <v>604</v>
      </c>
      <c r="I768">
        <f>G768-H768</f>
        <v/>
      </c>
    </row>
    <row r="769">
      <c r="A769" t="inlineStr">
        <is>
          <t>GW-0423</t>
        </is>
      </c>
      <c r="B769" t="inlineStr">
        <is>
          <t>Gullwing</t>
        </is>
      </c>
      <c r="C769" t="inlineStr">
        <is>
          <t>open</t>
        </is>
      </c>
      <c r="D769" t="n">
        <v>42</v>
      </c>
      <c r="E769">
        <f>ROUNDUP(D769, 0)</f>
        <v/>
      </c>
      <c r="F769">
        <f>IF(LOWER(C769)="covered", 10.40, 7.55)</f>
        <v/>
      </c>
      <c r="G769">
        <f>E769*F769</f>
        <v/>
      </c>
      <c r="H769" t="n">
        <v>317.1</v>
      </c>
      <c r="I769">
        <f>G769-H769</f>
        <v/>
      </c>
    </row>
    <row r="770">
      <c r="A770" t="inlineStr">
        <is>
          <t>GW-0501</t>
        </is>
      </c>
      <c r="B770" t="inlineStr">
        <is>
          <t>Gullwing</t>
        </is>
      </c>
      <c r="C770" t="inlineStr">
        <is>
          <t>open</t>
        </is>
      </c>
      <c r="D770" t="n">
        <v>22.6</v>
      </c>
      <c r="E770">
        <f>ROUNDUP(D770, 0)</f>
        <v/>
      </c>
      <c r="F770">
        <f>IF(LOWER(C770)="covered", 10.40, 7.55)</f>
        <v/>
      </c>
      <c r="G770">
        <f>E770*F770</f>
        <v/>
      </c>
      <c r="H770" t="n">
        <v>302</v>
      </c>
      <c r="I770">
        <f>G770-H770</f>
        <v/>
      </c>
    </row>
    <row r="771">
      <c r="A771" t="inlineStr">
        <is>
          <t>GW-0502</t>
        </is>
      </c>
      <c r="B771" t="inlineStr">
        <is>
          <t>Gullwing</t>
        </is>
      </c>
      <c r="C771" t="inlineStr">
        <is>
          <t>open</t>
        </is>
      </c>
      <c r="D771" t="n">
        <v>36.5</v>
      </c>
      <c r="E771">
        <f>ROUNDUP(D771, 0)</f>
        <v/>
      </c>
      <c r="F771">
        <f>IF(LOWER(C771)="covered", 10.40, 7.55)</f>
        <v/>
      </c>
      <c r="G771">
        <f>E771*F771</f>
        <v/>
      </c>
      <c r="H771" t="n">
        <v>426</v>
      </c>
      <c r="I771">
        <f>G771-H771</f>
        <v/>
      </c>
    </row>
    <row r="772">
      <c r="A772" t="inlineStr">
        <is>
          <t>GW-0503</t>
        </is>
      </c>
      <c r="B772" t="inlineStr">
        <is>
          <t>Gullwing</t>
        </is>
      </c>
      <c r="C772" t="inlineStr">
        <is>
          <t>open</t>
        </is>
      </c>
      <c r="D772" t="n">
        <v>43.9</v>
      </c>
      <c r="E772">
        <f>ROUNDUP(D772, 0)</f>
        <v/>
      </c>
      <c r="F772">
        <f>IF(LOWER(C772)="covered", 10.40, 7.55)</f>
        <v/>
      </c>
      <c r="G772">
        <f>E772*F772</f>
        <v/>
      </c>
      <c r="H772" t="n">
        <v>0</v>
      </c>
      <c r="I772">
        <f>G772-H772</f>
        <v/>
      </c>
    </row>
    <row r="773">
      <c r="A773" t="inlineStr">
        <is>
          <t>GW-0504</t>
        </is>
      </c>
      <c r="B773" t="inlineStr">
        <is>
          <t>Gullwing</t>
        </is>
      </c>
      <c r="C773" t="inlineStr">
        <is>
          <t>open</t>
        </is>
      </c>
      <c r="D773" t="n">
        <v>25.2</v>
      </c>
      <c r="E773">
        <f>ROUNDUP(D773, 0)</f>
        <v/>
      </c>
      <c r="F773">
        <f>IF(LOWER(C773)="covered", 10.40, 7.55)</f>
        <v/>
      </c>
      <c r="G773">
        <f>E773*F773</f>
        <v/>
      </c>
      <c r="H773" t="n">
        <v>0</v>
      </c>
      <c r="I773">
        <f>G773-H773</f>
        <v/>
      </c>
    </row>
    <row r="774">
      <c r="A774" t="inlineStr">
        <is>
          <t>GW-0505</t>
        </is>
      </c>
      <c r="B774" t="inlineStr">
        <is>
          <t>Gullwing</t>
        </is>
      </c>
      <c r="C774" t="inlineStr">
        <is>
          <t>open</t>
        </is>
      </c>
      <c r="D774" t="n">
        <v>54.3</v>
      </c>
      <c r="E774">
        <f>ROUNDUP(D774, 0)</f>
        <v/>
      </c>
      <c r="F774">
        <f>IF(LOWER(C774)="covered", 10.40, 7.55)</f>
        <v/>
      </c>
      <c r="G774">
        <f>E774*F774</f>
        <v/>
      </c>
      <c r="H774" t="n">
        <v>0</v>
      </c>
      <c r="I774">
        <f>G774-H774</f>
        <v/>
      </c>
    </row>
    <row r="775">
      <c r="A775" t="inlineStr">
        <is>
          <t>GW-0506</t>
        </is>
      </c>
      <c r="B775" t="inlineStr">
        <is>
          <t>Gullwing</t>
        </is>
      </c>
      <c r="C775" t="inlineStr">
        <is>
          <t>open</t>
        </is>
      </c>
      <c r="D775" t="n">
        <v>25.2</v>
      </c>
      <c r="E775">
        <f>ROUNDUP(D775, 0)</f>
        <v/>
      </c>
      <c r="F775">
        <f>IF(LOWER(C775)="covered", 10.40, 7.55)</f>
        <v/>
      </c>
      <c r="G775">
        <f>E775*F775</f>
        <v/>
      </c>
      <c r="H775" t="n">
        <v>0</v>
      </c>
      <c r="I775">
        <f>G775-H775</f>
        <v/>
      </c>
    </row>
    <row r="776">
      <c r="A776" t="inlineStr">
        <is>
          <t>GW-0507</t>
        </is>
      </c>
      <c r="B776" t="inlineStr">
        <is>
          <t>Gullwing</t>
        </is>
      </c>
      <c r="C776" t="inlineStr">
        <is>
          <t>open</t>
        </is>
      </c>
      <c r="D776" t="n">
        <v>38.3</v>
      </c>
      <c r="E776">
        <f>ROUNDUP(D776, 0)</f>
        <v/>
      </c>
      <c r="F776">
        <f>IF(LOWER(C776)="covered", 10.40, 7.55)</f>
        <v/>
      </c>
      <c r="G776">
        <f>E776*F776</f>
        <v/>
      </c>
      <c r="H776" t="n">
        <v>0</v>
      </c>
      <c r="I776">
        <f>G776-H776</f>
        <v/>
      </c>
    </row>
    <row r="777">
      <c r="A777" t="inlineStr">
        <is>
          <t>GW-0508</t>
        </is>
      </c>
      <c r="B777" t="inlineStr">
        <is>
          <t>Gullwing</t>
        </is>
      </c>
      <c r="C777" t="inlineStr">
        <is>
          <t>open</t>
        </is>
      </c>
      <c r="D777" t="n">
        <v>25.9</v>
      </c>
      <c r="E777">
        <f>ROUNDUP(D777, 0)</f>
        <v/>
      </c>
      <c r="F777">
        <f>IF(LOWER(C777)="covered", 10.40, 7.55)</f>
        <v/>
      </c>
      <c r="G777">
        <f>E777*F777</f>
        <v/>
      </c>
      <c r="H777" t="n">
        <v>0</v>
      </c>
      <c r="I777">
        <f>G777-H777</f>
        <v/>
      </c>
    </row>
    <row r="778">
      <c r="A778" t="inlineStr">
        <is>
          <t>GW-0509</t>
        </is>
      </c>
      <c r="B778" t="inlineStr">
        <is>
          <t>Gullwing</t>
        </is>
      </c>
      <c r="C778" t="inlineStr">
        <is>
          <t>open</t>
        </is>
      </c>
      <c r="D778" t="n">
        <v>35.6</v>
      </c>
      <c r="E778">
        <f>ROUNDUP(D778, 0)</f>
        <v/>
      </c>
      <c r="F778">
        <f>IF(LOWER(C778)="covered", 10.40, 7.55)</f>
        <v/>
      </c>
      <c r="G778">
        <f>E778*F778</f>
        <v/>
      </c>
      <c r="H778" t="n">
        <v>0</v>
      </c>
      <c r="I778">
        <f>G778-H778</f>
        <v/>
      </c>
    </row>
    <row r="779">
      <c r="A779" t="inlineStr">
        <is>
          <t>GW-0511</t>
        </is>
      </c>
      <c r="B779" t="inlineStr">
        <is>
          <t>Gullwing</t>
        </is>
      </c>
      <c r="C779" t="inlineStr">
        <is>
          <t>open</t>
        </is>
      </c>
      <c r="D779" t="n">
        <v>28.7</v>
      </c>
      <c r="E779">
        <f>ROUNDUP(D779, 0)</f>
        <v/>
      </c>
      <c r="F779">
        <f>IF(LOWER(C779)="covered", 10.40, 7.55)</f>
        <v/>
      </c>
      <c r="G779">
        <f>E779*F779</f>
        <v/>
      </c>
      <c r="H779" t="n">
        <v>0</v>
      </c>
      <c r="I779">
        <f>G779-H779</f>
        <v/>
      </c>
    </row>
    <row r="780">
      <c r="A780" t="inlineStr">
        <is>
          <t>GW-0512</t>
        </is>
      </c>
      <c r="B780" t="inlineStr">
        <is>
          <t>Gullwing</t>
        </is>
      </c>
      <c r="C780" t="inlineStr">
        <is>
          <t>open</t>
        </is>
      </c>
      <c r="D780" t="n">
        <v>37</v>
      </c>
      <c r="E780">
        <f>ROUNDUP(D780, 0)</f>
        <v/>
      </c>
      <c r="F780">
        <f>IF(LOWER(C780)="covered", 10.40, 7.55)</f>
        <v/>
      </c>
      <c r="G780">
        <f>E780*F780</f>
        <v/>
      </c>
      <c r="H780" t="n">
        <v>0</v>
      </c>
      <c r="I780">
        <f>G780-H780</f>
        <v/>
      </c>
    </row>
    <row r="781">
      <c r="A781" t="inlineStr">
        <is>
          <t>GW-0513</t>
        </is>
      </c>
      <c r="B781" t="inlineStr">
        <is>
          <t>Gullwing</t>
        </is>
      </c>
      <c r="C781" t="inlineStr">
        <is>
          <t>open</t>
        </is>
      </c>
      <c r="D781" t="n">
        <v>51.6</v>
      </c>
      <c r="E781">
        <f>ROUNDUP(D781, 0)</f>
        <v/>
      </c>
      <c r="F781">
        <f>IF(LOWER(C781)="covered", 10.40, 7.55)</f>
        <v/>
      </c>
      <c r="G781">
        <f>E781*F781</f>
        <v/>
      </c>
      <c r="H781" t="n">
        <v>0</v>
      </c>
      <c r="I781">
        <f>G781-H781</f>
        <v/>
      </c>
    </row>
    <row r="782">
      <c r="A782" t="inlineStr">
        <is>
          <t>GW-0514</t>
        </is>
      </c>
      <c r="B782" t="inlineStr">
        <is>
          <t>Gullwing</t>
        </is>
      </c>
      <c r="C782" t="inlineStr">
        <is>
          <t>open</t>
        </is>
      </c>
      <c r="D782" t="n">
        <v>32.5</v>
      </c>
      <c r="E782">
        <f>ROUNDUP(D782, 0)</f>
        <v/>
      </c>
      <c r="F782">
        <f>IF(LOWER(C782)="covered", 10.40, 7.55)</f>
        <v/>
      </c>
      <c r="G782">
        <f>E782*F782</f>
        <v/>
      </c>
      <c r="H782" t="n">
        <v>0</v>
      </c>
      <c r="I782">
        <f>G782-H782</f>
        <v/>
      </c>
    </row>
    <row r="783">
      <c r="A783" t="inlineStr">
        <is>
          <t>GW-0515</t>
        </is>
      </c>
      <c r="B783" t="inlineStr">
        <is>
          <t>Gullwing</t>
        </is>
      </c>
      <c r="C783" t="inlineStr">
        <is>
          <t>open</t>
        </is>
      </c>
      <c r="D783" t="n">
        <v>18.1</v>
      </c>
      <c r="E783">
        <f>ROUNDUP(D783, 0)</f>
        <v/>
      </c>
      <c r="F783">
        <f>IF(LOWER(C783)="covered", 10.40, 7.55)</f>
        <v/>
      </c>
      <c r="G783">
        <f>E783*F783</f>
        <v/>
      </c>
      <c r="H783" t="n">
        <v>0</v>
      </c>
      <c r="I783">
        <f>G783-H783</f>
        <v/>
      </c>
    </row>
    <row r="784">
      <c r="A784" t="inlineStr">
        <is>
          <t>GW-0516</t>
        </is>
      </c>
      <c r="B784" t="inlineStr">
        <is>
          <t>Gullwing</t>
        </is>
      </c>
      <c r="C784" t="inlineStr">
        <is>
          <t>open</t>
        </is>
      </c>
      <c r="D784" t="n">
        <v>52.3</v>
      </c>
      <c r="E784">
        <f>ROUNDUP(D784, 0)</f>
        <v/>
      </c>
      <c r="F784">
        <f>IF(LOWER(C784)="covered", 10.40, 7.55)</f>
        <v/>
      </c>
      <c r="G784">
        <f>E784*F784</f>
        <v/>
      </c>
      <c r="H784" t="n">
        <v>0</v>
      </c>
      <c r="I784">
        <f>G784-H784</f>
        <v/>
      </c>
    </row>
    <row r="785">
      <c r="A785" t="inlineStr">
        <is>
          <t>GW-0517</t>
        </is>
      </c>
      <c r="B785" t="inlineStr">
        <is>
          <t>Gullwing</t>
        </is>
      </c>
      <c r="C785" t="inlineStr">
        <is>
          <t>open</t>
        </is>
      </c>
      <c r="D785" t="n">
        <v>46.9</v>
      </c>
      <c r="E785">
        <f>ROUNDUP(D785, 0)</f>
        <v/>
      </c>
      <c r="F785">
        <f>IF(LOWER(C785)="covered", 10.40, 7.55)</f>
        <v/>
      </c>
      <c r="G785">
        <f>E785*F785</f>
        <v/>
      </c>
      <c r="H785" t="n">
        <v>0</v>
      </c>
      <c r="I785">
        <f>G785-H785</f>
        <v/>
      </c>
    </row>
    <row r="786">
      <c r="A786" t="inlineStr">
        <is>
          <t>GW-0518</t>
        </is>
      </c>
      <c r="B786" t="inlineStr">
        <is>
          <t>Gullwing</t>
        </is>
      </c>
      <c r="C786" t="inlineStr">
        <is>
          <t>open</t>
        </is>
      </c>
      <c r="D786" t="n">
        <v>54.3</v>
      </c>
      <c r="E786">
        <f>ROUNDUP(D786, 0)</f>
        <v/>
      </c>
      <c r="F786">
        <f>IF(LOWER(C786)="covered", 10.40, 7.55)</f>
        <v/>
      </c>
      <c r="G786">
        <f>E786*F786</f>
        <v/>
      </c>
      <c r="H786" t="n">
        <v>0</v>
      </c>
      <c r="I786">
        <f>G786-H786</f>
        <v/>
      </c>
    </row>
    <row r="787">
      <c r="A787" t="inlineStr">
        <is>
          <t>GW-0519</t>
        </is>
      </c>
      <c r="B787" t="inlineStr">
        <is>
          <t>Gullwing</t>
        </is>
      </c>
      <c r="C787" t="inlineStr">
        <is>
          <t>open</t>
        </is>
      </c>
      <c r="D787" t="n">
        <v>33.7</v>
      </c>
      <c r="E787">
        <f>ROUNDUP(D787, 0)</f>
        <v/>
      </c>
      <c r="F787">
        <f>IF(LOWER(C787)="covered", 10.40, 7.55)</f>
        <v/>
      </c>
      <c r="G787">
        <f>E787*F787</f>
        <v/>
      </c>
      <c r="H787" t="n">
        <v>0</v>
      </c>
      <c r="I787">
        <f>G787-H787</f>
        <v/>
      </c>
    </row>
    <row r="788">
      <c r="A788" t="inlineStr">
        <is>
          <t>GW-0520</t>
        </is>
      </c>
      <c r="B788" t="inlineStr">
        <is>
          <t>Gullwing</t>
        </is>
      </c>
      <c r="C788" t="inlineStr">
        <is>
          <t>open</t>
        </is>
      </c>
      <c r="D788" t="n">
        <v>61.4</v>
      </c>
      <c r="E788">
        <f>ROUNDUP(D788, 0)</f>
        <v/>
      </c>
      <c r="F788">
        <f>IF(LOWER(C788)="covered", 10.40, 7.55)</f>
        <v/>
      </c>
      <c r="G788">
        <f>E788*F788</f>
        <v/>
      </c>
      <c r="H788" t="n">
        <v>0</v>
      </c>
      <c r="I788">
        <f>G788-H788</f>
        <v/>
      </c>
    </row>
    <row r="789">
      <c r="A789" t="inlineStr">
        <is>
          <t>GW-0521</t>
        </is>
      </c>
      <c r="B789" t="inlineStr">
        <is>
          <t>Gullwing</t>
        </is>
      </c>
      <c r="C789" t="inlineStr">
        <is>
          <t>open</t>
        </is>
      </c>
      <c r="D789" t="n">
        <v>19.9</v>
      </c>
      <c r="E789">
        <f>ROUNDUP(D789, 0)</f>
        <v/>
      </c>
      <c r="F789">
        <f>IF(LOWER(C789)="covered", 10.40, 7.55)</f>
        <v/>
      </c>
      <c r="G789">
        <f>E789*F789</f>
        <v/>
      </c>
      <c r="H789" t="n">
        <v>0</v>
      </c>
      <c r="I789">
        <f>G789-H789</f>
        <v/>
      </c>
    </row>
    <row r="790">
      <c r="A790" t="inlineStr">
        <is>
          <t>GW-0522</t>
        </is>
      </c>
      <c r="B790" t="inlineStr">
        <is>
          <t>Gullwing</t>
        </is>
      </c>
      <c r="C790" t="inlineStr">
        <is>
          <t>open</t>
        </is>
      </c>
      <c r="D790" t="n">
        <v>46.7</v>
      </c>
      <c r="E790">
        <f>ROUNDUP(D790, 0)</f>
        <v/>
      </c>
      <c r="F790">
        <f>IF(LOWER(C790)="covered", 10.40, 7.55)</f>
        <v/>
      </c>
      <c r="G790">
        <f>E790*F790</f>
        <v/>
      </c>
      <c r="H790" t="n">
        <v>0</v>
      </c>
      <c r="I790">
        <f>G790-H790</f>
        <v/>
      </c>
    </row>
    <row r="791">
      <c r="A791" t="inlineStr">
        <is>
          <t>GW-0523</t>
        </is>
      </c>
      <c r="B791" t="inlineStr">
        <is>
          <t>Gullwing</t>
        </is>
      </c>
      <c r="C791" t="inlineStr">
        <is>
          <t>open</t>
        </is>
      </c>
      <c r="D791" t="n">
        <v>41.9</v>
      </c>
      <c r="E791">
        <f>ROUNDUP(D791, 0)</f>
        <v/>
      </c>
      <c r="F791">
        <f>IF(LOWER(C791)="covered", 10.40, 7.55)</f>
        <v/>
      </c>
      <c r="G791">
        <f>E791*F791</f>
        <v/>
      </c>
      <c r="H791" t="n">
        <v>0</v>
      </c>
      <c r="I791">
        <f>G791-H791</f>
        <v/>
      </c>
    </row>
    <row r="792">
      <c r="A792" t="inlineStr">
        <is>
          <t>GW-0601</t>
        </is>
      </c>
      <c r="B792" t="inlineStr">
        <is>
          <t>Gullwing</t>
        </is>
      </c>
      <c r="C792" t="inlineStr">
        <is>
          <t>open</t>
        </is>
      </c>
      <c r="D792" t="n">
        <v>19.1</v>
      </c>
      <c r="E792">
        <f>ROUNDUP(D792, 0)</f>
        <v/>
      </c>
      <c r="F792">
        <f>IF(LOWER(C792)="covered", 10.40, 7.55)</f>
        <v/>
      </c>
      <c r="G792">
        <f>E792*F792</f>
        <v/>
      </c>
      <c r="H792" t="n">
        <v>0</v>
      </c>
      <c r="I792">
        <f>G792-H792</f>
        <v/>
      </c>
    </row>
    <row r="793">
      <c r="A793" t="inlineStr">
        <is>
          <t>GW-0603</t>
        </is>
      </c>
      <c r="B793" t="inlineStr">
        <is>
          <t>Gullwing</t>
        </is>
      </c>
      <c r="C793" t="inlineStr">
        <is>
          <t>open</t>
        </is>
      </c>
      <c r="D793" t="n">
        <v>30.9</v>
      </c>
      <c r="E793">
        <f>ROUNDUP(D793, 0)</f>
        <v/>
      </c>
      <c r="F793">
        <f>IF(LOWER(C793)="covered", 10.40, 7.55)</f>
        <v/>
      </c>
      <c r="G793">
        <f>E793*F793</f>
        <v/>
      </c>
      <c r="H793" t="n">
        <v>0</v>
      </c>
      <c r="I793">
        <f>G793-H793</f>
        <v/>
      </c>
    </row>
    <row r="794">
      <c r="A794" t="inlineStr">
        <is>
          <t>GW-0604</t>
        </is>
      </c>
      <c r="B794" t="inlineStr">
        <is>
          <t>Gullwing</t>
        </is>
      </c>
      <c r="C794" t="inlineStr">
        <is>
          <t>open</t>
        </is>
      </c>
      <c r="D794" t="n">
        <v>41.2</v>
      </c>
      <c r="E794">
        <f>ROUNDUP(D794, 0)</f>
        <v/>
      </c>
      <c r="F794">
        <f>IF(LOWER(C794)="covered", 10.40, 7.55)</f>
        <v/>
      </c>
      <c r="G794">
        <f>E794*F794</f>
        <v/>
      </c>
      <c r="H794" t="n">
        <v>0</v>
      </c>
      <c r="I794">
        <f>G794-H794</f>
        <v/>
      </c>
    </row>
    <row r="795">
      <c r="A795" t="inlineStr">
        <is>
          <t>GW-0605</t>
        </is>
      </c>
      <c r="B795" t="inlineStr">
        <is>
          <t>Gullwing</t>
        </is>
      </c>
      <c r="C795" t="inlineStr">
        <is>
          <t>open</t>
        </is>
      </c>
      <c r="D795" t="n">
        <v>60.9</v>
      </c>
      <c r="E795">
        <f>ROUNDUP(D795, 0)</f>
        <v/>
      </c>
      <c r="F795">
        <f>IF(LOWER(C795)="covered", 10.40, 7.55)</f>
        <v/>
      </c>
      <c r="G795">
        <f>E795*F795</f>
        <v/>
      </c>
      <c r="H795" t="n">
        <v>0</v>
      </c>
      <c r="I795">
        <f>G795-H795</f>
        <v/>
      </c>
    </row>
    <row r="796">
      <c r="A796" t="inlineStr">
        <is>
          <t>GW-0606</t>
        </is>
      </c>
      <c r="B796" t="inlineStr">
        <is>
          <t>Gullwing</t>
        </is>
      </c>
      <c r="C796" t="inlineStr">
        <is>
          <t>open</t>
        </is>
      </c>
      <c r="D796" t="n">
        <v>31.3</v>
      </c>
      <c r="E796">
        <f>ROUNDUP(D796, 0)</f>
        <v/>
      </c>
      <c r="F796">
        <f>IF(LOWER(C796)="covered", 10.40, 7.55)</f>
        <v/>
      </c>
      <c r="G796">
        <f>E796*F796</f>
        <v/>
      </c>
      <c r="H796" t="n">
        <v>0</v>
      </c>
      <c r="I796">
        <f>G796-H796</f>
        <v/>
      </c>
    </row>
    <row r="797">
      <c r="A797" t="inlineStr">
        <is>
          <t>GW-0607</t>
        </is>
      </c>
      <c r="B797" t="inlineStr">
        <is>
          <t>Gullwing</t>
        </is>
      </c>
      <c r="C797" t="inlineStr">
        <is>
          <t>open</t>
        </is>
      </c>
      <c r="D797" t="n">
        <v>29.8</v>
      </c>
      <c r="E797">
        <f>ROUNDUP(D797, 0)</f>
        <v/>
      </c>
      <c r="F797">
        <f>IF(LOWER(C797)="covered", 10.40, 7.55)</f>
        <v/>
      </c>
      <c r="G797">
        <f>E797*F797</f>
        <v/>
      </c>
      <c r="H797" t="n">
        <v>0</v>
      </c>
      <c r="I797">
        <f>G797-H797</f>
        <v/>
      </c>
    </row>
    <row r="798">
      <c r="A798" t="inlineStr">
        <is>
          <t>GW-0608</t>
        </is>
      </c>
      <c r="B798" t="inlineStr">
        <is>
          <t>Gullwing</t>
        </is>
      </c>
      <c r="C798" t="inlineStr">
        <is>
          <t>open</t>
        </is>
      </c>
      <c r="D798" t="n">
        <v>53.7</v>
      </c>
      <c r="E798">
        <f>ROUNDUP(D798, 0)</f>
        <v/>
      </c>
      <c r="F798">
        <f>IF(LOWER(C798)="covered", 10.40, 7.55)</f>
        <v/>
      </c>
      <c r="G798">
        <f>E798*F798</f>
        <v/>
      </c>
      <c r="H798" t="n">
        <v>0</v>
      </c>
      <c r="I798">
        <f>G798-H798</f>
        <v/>
      </c>
    </row>
    <row r="799">
      <c r="A799" t="inlineStr">
        <is>
          <t>GW-0609</t>
        </is>
      </c>
      <c r="B799" t="inlineStr">
        <is>
          <t>Gullwing</t>
        </is>
      </c>
      <c r="C799" t="inlineStr">
        <is>
          <t>open</t>
        </is>
      </c>
      <c r="D799" t="n">
        <v>28.3</v>
      </c>
      <c r="E799">
        <f>ROUNDUP(D799, 0)</f>
        <v/>
      </c>
      <c r="F799">
        <f>IF(LOWER(C799)="covered", 10.40, 7.55)</f>
        <v/>
      </c>
      <c r="G799">
        <f>E799*F799</f>
        <v/>
      </c>
      <c r="H799" t="n">
        <v>0</v>
      </c>
      <c r="I799">
        <f>G799-H799</f>
        <v/>
      </c>
    </row>
    <row r="800">
      <c r="A800" t="inlineStr">
        <is>
          <t>GW-0610</t>
        </is>
      </c>
      <c r="B800" t="inlineStr">
        <is>
          <t>Gullwing</t>
        </is>
      </c>
      <c r="C800" t="inlineStr">
        <is>
          <t>open</t>
        </is>
      </c>
      <c r="D800" t="n">
        <v>41.9</v>
      </c>
      <c r="E800">
        <f>ROUNDUP(D800, 0)</f>
        <v/>
      </c>
      <c r="F800">
        <f>IF(LOWER(C800)="covered", 10.40, 7.55)</f>
        <v/>
      </c>
      <c r="G800">
        <f>E800*F800</f>
        <v/>
      </c>
      <c r="H800" t="n">
        <v>0</v>
      </c>
      <c r="I800">
        <f>G800-H800</f>
        <v/>
      </c>
    </row>
    <row r="801">
      <c r="A801" t="inlineStr">
        <is>
          <t>GW-0612</t>
        </is>
      </c>
      <c r="B801" t="inlineStr">
        <is>
          <t>Gullwing</t>
        </is>
      </c>
      <c r="C801" t="inlineStr">
        <is>
          <t>open</t>
        </is>
      </c>
      <c r="D801" t="n">
        <v>21</v>
      </c>
      <c r="E801">
        <f>ROUNDUP(D801, 0)</f>
        <v/>
      </c>
      <c r="F801">
        <f>IF(LOWER(C801)="covered", 10.40, 7.55)</f>
        <v/>
      </c>
      <c r="G801">
        <f>E801*F801</f>
        <v/>
      </c>
      <c r="H801" t="n">
        <v>0</v>
      </c>
      <c r="I801">
        <f>G801-H801</f>
        <v/>
      </c>
    </row>
    <row r="802">
      <c r="A802" t="inlineStr">
        <is>
          <t>GW-0613</t>
        </is>
      </c>
      <c r="B802" t="inlineStr">
        <is>
          <t>Gullwing</t>
        </is>
      </c>
      <c r="C802" t="inlineStr">
        <is>
          <t>open</t>
        </is>
      </c>
      <c r="D802" t="n">
        <v>30.7</v>
      </c>
      <c r="E802">
        <f>ROUNDUP(D802, 0)</f>
        <v/>
      </c>
      <c r="F802">
        <f>IF(LOWER(C802)="covered", 10.40, 7.55)</f>
        <v/>
      </c>
      <c r="G802">
        <f>E802*F802</f>
        <v/>
      </c>
      <c r="H802" t="n">
        <v>0</v>
      </c>
      <c r="I802">
        <f>G802-H802</f>
        <v/>
      </c>
    </row>
    <row r="803">
      <c r="A803" t="inlineStr">
        <is>
          <t>GW-0614</t>
        </is>
      </c>
      <c r="B803" t="inlineStr">
        <is>
          <t>Gullwing</t>
        </is>
      </c>
      <c r="C803" t="inlineStr">
        <is>
          <t>open</t>
        </is>
      </c>
      <c r="D803" t="n">
        <v>55.7</v>
      </c>
      <c r="E803">
        <f>ROUNDUP(D803, 0)</f>
        <v/>
      </c>
      <c r="F803">
        <f>IF(LOWER(C803)="covered", 10.40, 7.55)</f>
        <v/>
      </c>
      <c r="G803">
        <f>E803*F803</f>
        <v/>
      </c>
      <c r="H803" t="n">
        <v>0</v>
      </c>
      <c r="I803">
        <f>G803-H803</f>
        <v/>
      </c>
    </row>
    <row r="804">
      <c r="A804" t="inlineStr">
        <is>
          <t>GW-0615</t>
        </is>
      </c>
      <c r="B804" t="inlineStr">
        <is>
          <t>Gullwing</t>
        </is>
      </c>
      <c r="C804" t="inlineStr">
        <is>
          <t>open</t>
        </is>
      </c>
      <c r="D804" t="n">
        <v>58.3</v>
      </c>
      <c r="E804">
        <f>ROUNDUP(D804, 0)</f>
        <v/>
      </c>
      <c r="F804">
        <f>IF(LOWER(C804)="covered", 10.40, 7.55)</f>
        <v/>
      </c>
      <c r="G804">
        <f>E804*F804</f>
        <v/>
      </c>
      <c r="H804" t="n">
        <v>0</v>
      </c>
      <c r="I804">
        <f>G804-H804</f>
        <v/>
      </c>
    </row>
    <row r="805">
      <c r="A805" t="inlineStr">
        <is>
          <t>GW-0617</t>
        </is>
      </c>
      <c r="B805" t="inlineStr">
        <is>
          <t>Gullwing</t>
        </is>
      </c>
      <c r="C805" t="inlineStr">
        <is>
          <t>open</t>
        </is>
      </c>
      <c r="D805" t="n">
        <v>50.2</v>
      </c>
      <c r="E805">
        <f>ROUNDUP(D805, 0)</f>
        <v/>
      </c>
      <c r="F805">
        <f>IF(LOWER(C805)="covered", 10.40, 7.55)</f>
        <v/>
      </c>
      <c r="G805">
        <f>E805*F805</f>
        <v/>
      </c>
      <c r="H805" t="n">
        <v>0</v>
      </c>
      <c r="I805">
        <f>G805-H805</f>
        <v/>
      </c>
    </row>
    <row r="806">
      <c r="A806" t="inlineStr">
        <is>
          <t>GW-0618</t>
        </is>
      </c>
      <c r="B806" t="inlineStr">
        <is>
          <t>Gullwing</t>
        </is>
      </c>
      <c r="C806" t="inlineStr">
        <is>
          <t>open</t>
        </is>
      </c>
      <c r="D806" t="n">
        <v>30.5</v>
      </c>
      <c r="E806">
        <f>ROUNDUP(D806, 0)</f>
        <v/>
      </c>
      <c r="F806">
        <f>IF(LOWER(C806)="covered", 10.40, 7.55)</f>
        <v/>
      </c>
      <c r="G806">
        <f>E806*F806</f>
        <v/>
      </c>
      <c r="H806" t="n">
        <v>0</v>
      </c>
      <c r="I806">
        <f>G806-H806</f>
        <v/>
      </c>
    </row>
    <row r="807">
      <c r="A807" t="inlineStr">
        <is>
          <t>GW-0619</t>
        </is>
      </c>
      <c r="B807" t="inlineStr">
        <is>
          <t>Gullwing</t>
        </is>
      </c>
      <c r="C807" t="inlineStr">
        <is>
          <t>open</t>
        </is>
      </c>
      <c r="D807" t="n">
        <v>28.6</v>
      </c>
      <c r="E807">
        <f>ROUNDUP(D807, 0)</f>
        <v/>
      </c>
      <c r="F807">
        <f>IF(LOWER(C807)="covered", 10.40, 7.55)</f>
        <v/>
      </c>
      <c r="G807">
        <f>E807*F807</f>
        <v/>
      </c>
      <c r="H807" t="n">
        <v>0</v>
      </c>
      <c r="I807">
        <f>G807-H807</f>
        <v/>
      </c>
    </row>
    <row r="808">
      <c r="A808" t="inlineStr">
        <is>
          <t>GW-0620</t>
        </is>
      </c>
      <c r="B808" t="inlineStr">
        <is>
          <t>Gullwing</t>
        </is>
      </c>
      <c r="C808" t="inlineStr">
        <is>
          <t>open</t>
        </is>
      </c>
      <c r="D808" t="n">
        <v>39.9</v>
      </c>
      <c r="E808">
        <f>ROUNDUP(D808, 0)</f>
        <v/>
      </c>
      <c r="F808">
        <f>IF(LOWER(C808)="covered", 10.40, 7.55)</f>
        <v/>
      </c>
      <c r="G808">
        <f>E808*F808</f>
        <v/>
      </c>
      <c r="H808" t="n">
        <v>0</v>
      </c>
      <c r="I808">
        <f>G808-H808</f>
        <v/>
      </c>
    </row>
    <row r="809">
      <c r="A809" t="inlineStr">
        <is>
          <t>GW-0621</t>
        </is>
      </c>
      <c r="B809" t="inlineStr">
        <is>
          <t>Gullwing</t>
        </is>
      </c>
      <c r="C809" t="inlineStr">
        <is>
          <t>open</t>
        </is>
      </c>
      <c r="D809" t="n">
        <v>36.1</v>
      </c>
      <c r="E809">
        <f>ROUNDUP(D809, 0)</f>
        <v/>
      </c>
      <c r="F809">
        <f>IF(LOWER(C809)="covered", 10.40, 7.55)</f>
        <v/>
      </c>
      <c r="G809">
        <f>E809*F809</f>
        <v/>
      </c>
      <c r="H809" t="n">
        <v>0</v>
      </c>
      <c r="I809">
        <f>G809-H809</f>
        <v/>
      </c>
    </row>
    <row r="810">
      <c r="A810" t="inlineStr">
        <is>
          <t>GW-0622</t>
        </is>
      </c>
      <c r="B810" t="inlineStr">
        <is>
          <t>Gullwing</t>
        </is>
      </c>
      <c r="C810" t="inlineStr">
        <is>
          <t>open</t>
        </is>
      </c>
      <c r="D810" t="n">
        <v>53.2</v>
      </c>
      <c r="E810">
        <f>ROUNDUP(D810, 0)</f>
        <v/>
      </c>
      <c r="F810">
        <f>IF(LOWER(C810)="covered", 10.40, 7.55)</f>
        <v/>
      </c>
      <c r="G810">
        <f>E810*F810</f>
        <v/>
      </c>
      <c r="H810" t="n">
        <v>0</v>
      </c>
      <c r="I810">
        <f>G810-H810</f>
        <v/>
      </c>
    </row>
    <row r="811">
      <c r="A811" t="inlineStr">
        <is>
          <t>GW-0623</t>
        </is>
      </c>
      <c r="B811" t="inlineStr">
        <is>
          <t>Gullwing</t>
        </is>
      </c>
      <c r="C811" t="inlineStr">
        <is>
          <t>open</t>
        </is>
      </c>
      <c r="D811" t="n">
        <v>34.2</v>
      </c>
      <c r="E811">
        <f>ROUNDUP(D811, 0)</f>
        <v/>
      </c>
      <c r="F811">
        <f>IF(LOWER(C811)="covered", 10.40, 7.55)</f>
        <v/>
      </c>
      <c r="G811">
        <f>E811*F811</f>
        <v/>
      </c>
      <c r="H811" t="n">
        <v>0</v>
      </c>
      <c r="I811">
        <f>G811-H811</f>
        <v/>
      </c>
    </row>
    <row r="812">
      <c r="A812" t="inlineStr">
        <is>
          <t>GW-0702</t>
        </is>
      </c>
      <c r="B812" t="inlineStr">
        <is>
          <t>Gullwing</t>
        </is>
      </c>
      <c r="C812" t="inlineStr">
        <is>
          <t>open</t>
        </is>
      </c>
      <c r="D812" t="n">
        <v>36.4</v>
      </c>
      <c r="E812">
        <f>ROUNDUP(D812, 0)</f>
        <v/>
      </c>
      <c r="F812">
        <f>IF(LOWER(C812)="covered", 10.40, 7.55)</f>
        <v/>
      </c>
      <c r="G812">
        <f>E812*F812</f>
        <v/>
      </c>
      <c r="H812" t="n">
        <v>0</v>
      </c>
      <c r="I812">
        <f>G812-H812</f>
        <v/>
      </c>
    </row>
    <row r="813">
      <c r="A813" t="inlineStr">
        <is>
          <t>GW-0703</t>
        </is>
      </c>
      <c r="B813" t="inlineStr">
        <is>
          <t>Gullwing</t>
        </is>
      </c>
      <c r="C813" t="inlineStr">
        <is>
          <t>open</t>
        </is>
      </c>
      <c r="D813" t="n">
        <v>53.6</v>
      </c>
      <c r="E813">
        <f>ROUNDUP(D813, 0)</f>
        <v/>
      </c>
      <c r="F813">
        <f>IF(LOWER(C813)="covered", 10.40, 7.55)</f>
        <v/>
      </c>
      <c r="G813">
        <f>E813*F813</f>
        <v/>
      </c>
      <c r="H813" t="n">
        <v>0</v>
      </c>
      <c r="I813">
        <f>G813-H813</f>
        <v/>
      </c>
    </row>
    <row r="814">
      <c r="A814" t="inlineStr">
        <is>
          <t>GW-0704</t>
        </is>
      </c>
      <c r="B814" t="inlineStr">
        <is>
          <t>Gullwing</t>
        </is>
      </c>
      <c r="C814" t="inlineStr">
        <is>
          <t>open</t>
        </is>
      </c>
      <c r="D814" t="n">
        <v>43.6</v>
      </c>
      <c r="E814">
        <f>ROUNDUP(D814, 0)</f>
        <v/>
      </c>
      <c r="F814">
        <f>IF(LOWER(C814)="covered", 10.40, 7.55)</f>
        <v/>
      </c>
      <c r="G814">
        <f>E814*F814</f>
        <v/>
      </c>
      <c r="H814" t="n">
        <v>0</v>
      </c>
      <c r="I814">
        <f>G814-H814</f>
        <v/>
      </c>
    </row>
    <row r="815">
      <c r="A815" t="inlineStr">
        <is>
          <t>GW-0705</t>
        </is>
      </c>
      <c r="B815" t="inlineStr">
        <is>
          <t>Gullwing</t>
        </is>
      </c>
      <c r="C815" t="inlineStr">
        <is>
          <t>open</t>
        </is>
      </c>
      <c r="D815" t="n">
        <v>58.6</v>
      </c>
      <c r="E815">
        <f>ROUNDUP(D815, 0)</f>
        <v/>
      </c>
      <c r="F815">
        <f>IF(LOWER(C815)="covered", 10.40, 7.55)</f>
        <v/>
      </c>
      <c r="G815">
        <f>E815*F815</f>
        <v/>
      </c>
      <c r="H815" t="n">
        <v>0</v>
      </c>
      <c r="I815">
        <f>G815-H815</f>
        <v/>
      </c>
    </row>
    <row r="816">
      <c r="A816" t="inlineStr">
        <is>
          <t>GW-0706</t>
        </is>
      </c>
      <c r="B816" t="inlineStr">
        <is>
          <t>Gullwing</t>
        </is>
      </c>
      <c r="C816" t="inlineStr">
        <is>
          <t>open</t>
        </is>
      </c>
      <c r="D816" t="n">
        <v>33.4</v>
      </c>
      <c r="E816">
        <f>ROUNDUP(D816, 0)</f>
        <v/>
      </c>
      <c r="F816">
        <f>IF(LOWER(C816)="covered", 10.40, 7.55)</f>
        <v/>
      </c>
      <c r="G816">
        <f>E816*F816</f>
        <v/>
      </c>
      <c r="H816" t="n">
        <v>0</v>
      </c>
      <c r="I816">
        <f>G816-H816</f>
        <v/>
      </c>
    </row>
    <row r="817">
      <c r="A817" t="inlineStr">
        <is>
          <t>GW-0707</t>
        </is>
      </c>
      <c r="B817" t="inlineStr">
        <is>
          <t>Gullwing</t>
        </is>
      </c>
      <c r="C817" t="inlineStr">
        <is>
          <t>open</t>
        </is>
      </c>
      <c r="D817" t="n">
        <v>39.3</v>
      </c>
      <c r="E817">
        <f>ROUNDUP(D817, 0)</f>
        <v/>
      </c>
      <c r="F817">
        <f>IF(LOWER(C817)="covered", 10.40, 7.55)</f>
        <v/>
      </c>
      <c r="G817">
        <f>E817*F817</f>
        <v/>
      </c>
      <c r="H817" t="n">
        <v>0</v>
      </c>
      <c r="I817">
        <f>G817-H817</f>
        <v/>
      </c>
    </row>
    <row r="818">
      <c r="A818" t="inlineStr">
        <is>
          <t>GW-0708</t>
        </is>
      </c>
      <c r="B818" t="inlineStr">
        <is>
          <t>Gullwing</t>
        </is>
      </c>
      <c r="C818" t="inlineStr">
        <is>
          <t>open</t>
        </is>
      </c>
      <c r="D818" t="n">
        <v>28.7</v>
      </c>
      <c r="E818">
        <f>ROUNDUP(D818, 0)</f>
        <v/>
      </c>
      <c r="F818">
        <f>IF(LOWER(C818)="covered", 10.40, 7.55)</f>
        <v/>
      </c>
      <c r="G818">
        <f>E818*F818</f>
        <v/>
      </c>
      <c r="H818" t="n">
        <v>0</v>
      </c>
      <c r="I818">
        <f>G818-H818</f>
        <v/>
      </c>
    </row>
    <row r="819">
      <c r="A819" t="inlineStr">
        <is>
          <t>GW-0710</t>
        </is>
      </c>
      <c r="B819" t="inlineStr">
        <is>
          <t>Gullwing</t>
        </is>
      </c>
      <c r="C819" t="inlineStr">
        <is>
          <t>open</t>
        </is>
      </c>
      <c r="D819" t="n">
        <v>43.8</v>
      </c>
      <c r="E819">
        <f>ROUNDUP(D819, 0)</f>
        <v/>
      </c>
      <c r="F819">
        <f>IF(LOWER(C819)="covered", 10.40, 7.55)</f>
        <v/>
      </c>
      <c r="G819">
        <f>E819*F819</f>
        <v/>
      </c>
      <c r="H819" t="n">
        <v>0</v>
      </c>
      <c r="I819">
        <f>G819-H819</f>
        <v/>
      </c>
    </row>
    <row r="820">
      <c r="A820" t="inlineStr">
        <is>
          <t>GW-0711</t>
        </is>
      </c>
      <c r="B820" t="inlineStr">
        <is>
          <t>Gullwing</t>
        </is>
      </c>
      <c r="C820" t="inlineStr">
        <is>
          <t>open</t>
        </is>
      </c>
      <c r="D820" t="n">
        <v>40.5</v>
      </c>
      <c r="E820">
        <f>ROUNDUP(D820, 0)</f>
        <v/>
      </c>
      <c r="F820">
        <f>IF(LOWER(C820)="covered", 10.40, 7.55)</f>
        <v/>
      </c>
      <c r="G820">
        <f>E820*F820</f>
        <v/>
      </c>
      <c r="H820" t="n">
        <v>0</v>
      </c>
      <c r="I820">
        <f>G820-H820</f>
        <v/>
      </c>
    </row>
    <row r="821">
      <c r="A821" t="inlineStr">
        <is>
          <t>GW-0712</t>
        </is>
      </c>
      <c r="B821" t="inlineStr">
        <is>
          <t>Gullwing</t>
        </is>
      </c>
      <c r="C821" t="inlineStr">
        <is>
          <t>open</t>
        </is>
      </c>
      <c r="D821" t="n">
        <v>48.3</v>
      </c>
      <c r="E821">
        <f>ROUNDUP(D821, 0)</f>
        <v/>
      </c>
      <c r="F821">
        <f>IF(LOWER(C821)="covered", 10.40, 7.55)</f>
        <v/>
      </c>
      <c r="G821">
        <f>E821*F821</f>
        <v/>
      </c>
      <c r="H821" t="n">
        <v>0</v>
      </c>
      <c r="I821">
        <f>G821-H821</f>
        <v/>
      </c>
    </row>
    <row r="822">
      <c r="A822" t="inlineStr">
        <is>
          <t>GW-0713</t>
        </is>
      </c>
      <c r="B822" t="inlineStr">
        <is>
          <t>Gullwing</t>
        </is>
      </c>
      <c r="C822" t="inlineStr">
        <is>
          <t>open</t>
        </is>
      </c>
      <c r="D822" t="n">
        <v>45</v>
      </c>
      <c r="E822">
        <f>ROUNDUP(D822, 0)</f>
        <v/>
      </c>
      <c r="F822">
        <f>IF(LOWER(C822)="covered", 10.40, 7.55)</f>
        <v/>
      </c>
      <c r="G822">
        <f>E822*F822</f>
        <v/>
      </c>
      <c r="H822" t="n">
        <v>0</v>
      </c>
      <c r="I822">
        <f>G822-H822</f>
        <v/>
      </c>
    </row>
    <row r="823">
      <c r="A823" t="inlineStr">
        <is>
          <t>GW-0714</t>
        </is>
      </c>
      <c r="B823" t="inlineStr">
        <is>
          <t>Gullwing</t>
        </is>
      </c>
      <c r="C823" t="inlineStr">
        <is>
          <t>open</t>
        </is>
      </c>
      <c r="D823" t="n">
        <v>40.5</v>
      </c>
      <c r="E823">
        <f>ROUNDUP(D823, 0)</f>
        <v/>
      </c>
      <c r="F823">
        <f>IF(LOWER(C823)="covered", 10.40, 7.55)</f>
        <v/>
      </c>
      <c r="G823">
        <f>E823*F823</f>
        <v/>
      </c>
      <c r="H823" t="n">
        <v>0</v>
      </c>
      <c r="I823">
        <f>G823-H823</f>
        <v/>
      </c>
    </row>
    <row r="824">
      <c r="A824" t="inlineStr">
        <is>
          <t>GW-0715</t>
        </is>
      </c>
      <c r="B824" t="inlineStr">
        <is>
          <t>Gullwing</t>
        </is>
      </c>
      <c r="C824" t="inlineStr">
        <is>
          <t>open</t>
        </is>
      </c>
      <c r="D824" t="n">
        <v>34.6</v>
      </c>
      <c r="E824">
        <f>ROUNDUP(D824, 0)</f>
        <v/>
      </c>
      <c r="F824">
        <f>IF(LOWER(C824)="covered", 10.40, 7.55)</f>
        <v/>
      </c>
      <c r="G824">
        <f>E824*F824</f>
        <v/>
      </c>
      <c r="H824" t="n">
        <v>0</v>
      </c>
      <c r="I824">
        <f>G824-H824</f>
        <v/>
      </c>
    </row>
    <row r="825">
      <c r="A825" t="inlineStr">
        <is>
          <t>GW-0716</t>
        </is>
      </c>
      <c r="B825" t="inlineStr">
        <is>
          <t>Gullwing</t>
        </is>
      </c>
      <c r="C825" t="inlineStr">
        <is>
          <t>open</t>
        </is>
      </c>
      <c r="D825" t="n">
        <v>27.9</v>
      </c>
      <c r="E825">
        <f>ROUNDUP(D825, 0)</f>
        <v/>
      </c>
      <c r="F825">
        <f>IF(LOWER(C825)="covered", 10.40, 7.55)</f>
        <v/>
      </c>
      <c r="G825">
        <f>E825*F825</f>
        <v/>
      </c>
      <c r="H825" t="n">
        <v>0</v>
      </c>
      <c r="I825">
        <f>G825-H825</f>
        <v/>
      </c>
    </row>
    <row r="826">
      <c r="A826" t="inlineStr">
        <is>
          <t>GW-0717</t>
        </is>
      </c>
      <c r="B826" t="inlineStr">
        <is>
          <t>Gullwing</t>
        </is>
      </c>
      <c r="C826" t="inlineStr">
        <is>
          <t>open</t>
        </is>
      </c>
      <c r="D826" t="n">
        <v>49.7</v>
      </c>
      <c r="E826">
        <f>ROUNDUP(D826, 0)</f>
        <v/>
      </c>
      <c r="F826">
        <f>IF(LOWER(C826)="covered", 10.40, 7.55)</f>
        <v/>
      </c>
      <c r="G826">
        <f>E826*F826</f>
        <v/>
      </c>
      <c r="H826" t="n">
        <v>0</v>
      </c>
      <c r="I826">
        <f>G826-H826</f>
        <v/>
      </c>
    </row>
    <row r="827">
      <c r="A827" t="inlineStr">
        <is>
          <t>GW-0719</t>
        </is>
      </c>
      <c r="B827" t="inlineStr">
        <is>
          <t>Gullwing</t>
        </is>
      </c>
      <c r="C827" t="inlineStr">
        <is>
          <t>open</t>
        </is>
      </c>
      <c r="D827" t="n">
        <v>42</v>
      </c>
      <c r="E827">
        <f>ROUNDUP(D827, 0)</f>
        <v/>
      </c>
      <c r="F827">
        <f>IF(LOWER(C827)="covered", 10.40, 7.55)</f>
        <v/>
      </c>
      <c r="G827">
        <f>E827*F827</f>
        <v/>
      </c>
      <c r="H827" t="n">
        <v>0</v>
      </c>
      <c r="I827">
        <f>G827-H827</f>
        <v/>
      </c>
    </row>
    <row r="828">
      <c r="A828" t="inlineStr">
        <is>
          <t>GW-0720</t>
        </is>
      </c>
      <c r="B828" t="inlineStr">
        <is>
          <t>Gullwing</t>
        </is>
      </c>
      <c r="C828" t="inlineStr">
        <is>
          <t>open</t>
        </is>
      </c>
      <c r="D828" t="n">
        <v>37.4</v>
      </c>
      <c r="E828">
        <f>ROUNDUP(D828, 0)</f>
        <v/>
      </c>
      <c r="F828">
        <f>IF(LOWER(C828)="covered", 10.40, 7.55)</f>
        <v/>
      </c>
      <c r="G828">
        <f>E828*F828</f>
        <v/>
      </c>
      <c r="H828" t="n">
        <v>0</v>
      </c>
      <c r="I828">
        <f>G828-H828</f>
        <v/>
      </c>
    </row>
    <row r="829">
      <c r="A829" t="inlineStr">
        <is>
          <t>GW-0721</t>
        </is>
      </c>
      <c r="B829" t="inlineStr">
        <is>
          <t>Gullwing</t>
        </is>
      </c>
      <c r="C829" t="inlineStr">
        <is>
          <t>open</t>
        </is>
      </c>
      <c r="D829" t="n">
        <v>59.7</v>
      </c>
      <c r="E829">
        <f>ROUNDUP(D829, 0)</f>
        <v/>
      </c>
      <c r="F829">
        <f>IF(LOWER(C829)="covered", 10.40, 7.55)</f>
        <v/>
      </c>
      <c r="G829">
        <f>E829*F829</f>
        <v/>
      </c>
      <c r="H829" t="n">
        <v>0</v>
      </c>
      <c r="I829">
        <f>G829-H829</f>
        <v/>
      </c>
    </row>
    <row r="830">
      <c r="A830" t="inlineStr">
        <is>
          <t>GW-0722</t>
        </is>
      </c>
      <c r="B830" t="inlineStr">
        <is>
          <t>Gullwing</t>
        </is>
      </c>
      <c r="C830" t="inlineStr">
        <is>
          <t>open</t>
        </is>
      </c>
      <c r="D830" t="n">
        <v>39.4</v>
      </c>
      <c r="E830">
        <f>ROUNDUP(D830, 0)</f>
        <v/>
      </c>
      <c r="F830">
        <f>IF(LOWER(C830)="covered", 10.40, 7.55)</f>
        <v/>
      </c>
      <c r="G830">
        <f>E830*F830</f>
        <v/>
      </c>
      <c r="H830" t="n">
        <v>0</v>
      </c>
      <c r="I830">
        <f>G830-H830</f>
        <v/>
      </c>
    </row>
    <row r="831">
      <c r="A831" t="inlineStr">
        <is>
          <t>GW-0723</t>
        </is>
      </c>
      <c r="B831" t="inlineStr">
        <is>
          <t>Gullwing</t>
        </is>
      </c>
      <c r="C831" t="inlineStr">
        <is>
          <t>open</t>
        </is>
      </c>
      <c r="D831" t="n">
        <v>37</v>
      </c>
      <c r="E831">
        <f>ROUNDUP(D831, 0)</f>
        <v/>
      </c>
      <c r="F831">
        <f>IF(LOWER(C831)="covered", 10.40, 7.55)</f>
        <v/>
      </c>
      <c r="G831">
        <f>E831*F831</f>
        <v/>
      </c>
      <c r="H831" t="n">
        <v>0</v>
      </c>
      <c r="I831">
        <f>G831-H831</f>
        <v/>
      </c>
    </row>
    <row r="832">
      <c r="A832" t="inlineStr">
        <is>
          <t>GW-0802</t>
        </is>
      </c>
      <c r="B832" t="inlineStr">
        <is>
          <t>Gullwing</t>
        </is>
      </c>
      <c r="C832" t="inlineStr">
        <is>
          <t>open</t>
        </is>
      </c>
      <c r="D832" t="n">
        <v>46.2</v>
      </c>
      <c r="E832">
        <f>ROUNDUP(D832, 0)</f>
        <v/>
      </c>
      <c r="F832">
        <f>IF(LOWER(C832)="covered", 10.40, 7.55)</f>
        <v/>
      </c>
      <c r="G832">
        <f>E832*F832</f>
        <v/>
      </c>
      <c r="H832" t="n">
        <v>0</v>
      </c>
      <c r="I832">
        <f>G832-H832</f>
        <v/>
      </c>
    </row>
    <row r="833">
      <c r="A833" t="inlineStr">
        <is>
          <t>GW-0803</t>
        </is>
      </c>
      <c r="B833" t="inlineStr">
        <is>
          <t>Gullwing</t>
        </is>
      </c>
      <c r="C833" t="inlineStr">
        <is>
          <t>open</t>
        </is>
      </c>
      <c r="D833" t="n">
        <v>59.8</v>
      </c>
      <c r="E833">
        <f>ROUNDUP(D833, 0)</f>
        <v/>
      </c>
      <c r="F833">
        <f>IF(LOWER(C833)="covered", 10.40, 7.55)</f>
        <v/>
      </c>
      <c r="G833">
        <f>E833*F833</f>
        <v/>
      </c>
      <c r="H833" t="n">
        <v>0</v>
      </c>
      <c r="I833">
        <f>G833-H833</f>
        <v/>
      </c>
    </row>
    <row r="834">
      <c r="A834" t="inlineStr">
        <is>
          <t>GW-0804</t>
        </is>
      </c>
      <c r="B834" t="inlineStr">
        <is>
          <t>Gullwing</t>
        </is>
      </c>
      <c r="C834" t="inlineStr">
        <is>
          <t>open</t>
        </is>
      </c>
      <c r="D834" t="n">
        <v>31.6</v>
      </c>
      <c r="E834">
        <f>ROUNDUP(D834, 0)</f>
        <v/>
      </c>
      <c r="F834">
        <f>IF(LOWER(C834)="covered", 10.40, 7.55)</f>
        <v/>
      </c>
      <c r="G834">
        <f>E834*F834</f>
        <v/>
      </c>
      <c r="H834" t="n">
        <v>0</v>
      </c>
      <c r="I834">
        <f>G834-H834</f>
        <v/>
      </c>
    </row>
    <row r="835">
      <c r="A835" t="inlineStr">
        <is>
          <t>GW-0805</t>
        </is>
      </c>
      <c r="B835" t="inlineStr">
        <is>
          <t>Gullwing</t>
        </is>
      </c>
      <c r="C835" t="inlineStr">
        <is>
          <t>open</t>
        </is>
      </c>
      <c r="D835" t="n">
        <v>38.3</v>
      </c>
      <c r="E835">
        <f>ROUNDUP(D835, 0)</f>
        <v/>
      </c>
      <c r="F835">
        <f>IF(LOWER(C835)="covered", 10.40, 7.55)</f>
        <v/>
      </c>
      <c r="G835">
        <f>E835*F835</f>
        <v/>
      </c>
      <c r="H835" t="n">
        <v>0</v>
      </c>
      <c r="I835">
        <f>G835-H835</f>
        <v/>
      </c>
    </row>
    <row r="836">
      <c r="A836" t="inlineStr">
        <is>
          <t>GW-0806</t>
        </is>
      </c>
      <c r="B836" t="inlineStr">
        <is>
          <t>Gullwing</t>
        </is>
      </c>
      <c r="C836" t="inlineStr">
        <is>
          <t>open</t>
        </is>
      </c>
      <c r="D836" t="n">
        <v>55.4</v>
      </c>
      <c r="E836">
        <f>ROUNDUP(D836, 0)</f>
        <v/>
      </c>
      <c r="F836">
        <f>IF(LOWER(C836)="covered", 10.40, 7.55)</f>
        <v/>
      </c>
      <c r="G836">
        <f>E836*F836</f>
        <v/>
      </c>
      <c r="H836" t="n">
        <v>0</v>
      </c>
      <c r="I836">
        <f>G836-H836</f>
        <v/>
      </c>
    </row>
    <row r="837">
      <c r="A837" t="inlineStr">
        <is>
          <t>GW-0807</t>
        </is>
      </c>
      <c r="B837" t="inlineStr">
        <is>
          <t>Gullwing</t>
        </is>
      </c>
      <c r="C837" t="inlineStr">
        <is>
          <t>open</t>
        </is>
      </c>
      <c r="D837" t="n">
        <v>57.4</v>
      </c>
      <c r="E837">
        <f>ROUNDUP(D837, 0)</f>
        <v/>
      </c>
      <c r="F837">
        <f>IF(LOWER(C837)="covered", 10.40, 7.55)</f>
        <v/>
      </c>
      <c r="G837">
        <f>E837*F837</f>
        <v/>
      </c>
      <c r="H837" t="n">
        <v>0</v>
      </c>
      <c r="I837">
        <f>G837-H837</f>
        <v/>
      </c>
    </row>
    <row r="838">
      <c r="A838" t="inlineStr">
        <is>
          <t>GW-0808</t>
        </is>
      </c>
      <c r="B838" t="inlineStr">
        <is>
          <t>Gullwing</t>
        </is>
      </c>
      <c r="C838" t="inlineStr">
        <is>
          <t>open</t>
        </is>
      </c>
      <c r="D838" t="n">
        <v>43.1</v>
      </c>
      <c r="E838">
        <f>ROUNDUP(D838, 0)</f>
        <v/>
      </c>
      <c r="F838">
        <f>IF(LOWER(C838)="covered", 10.40, 7.55)</f>
        <v/>
      </c>
      <c r="G838">
        <f>E838*F838</f>
        <v/>
      </c>
      <c r="H838" t="n">
        <v>0</v>
      </c>
      <c r="I838">
        <f>G838-H838</f>
        <v/>
      </c>
    </row>
    <row r="839">
      <c r="A839" t="inlineStr">
        <is>
          <t>GW-0809</t>
        </is>
      </c>
      <c r="B839" t="inlineStr">
        <is>
          <t>Gullwing</t>
        </is>
      </c>
      <c r="C839" t="inlineStr">
        <is>
          <t>open</t>
        </is>
      </c>
      <c r="D839" t="n">
        <v>29.2</v>
      </c>
      <c r="E839">
        <f>ROUNDUP(D839, 0)</f>
        <v/>
      </c>
      <c r="F839">
        <f>IF(LOWER(C839)="covered", 10.40, 7.55)</f>
        <v/>
      </c>
      <c r="G839">
        <f>E839*F839</f>
        <v/>
      </c>
      <c r="H839" t="n">
        <v>0</v>
      </c>
      <c r="I839">
        <f>G839-H839</f>
        <v/>
      </c>
    </row>
    <row r="840">
      <c r="A840" t="inlineStr">
        <is>
          <t>GW-0810</t>
        </is>
      </c>
      <c r="B840" t="inlineStr">
        <is>
          <t>Gullwing</t>
        </is>
      </c>
      <c r="C840" t="inlineStr">
        <is>
          <t>open</t>
        </is>
      </c>
      <c r="D840" t="n">
        <v>30.5</v>
      </c>
      <c r="E840">
        <f>ROUNDUP(D840, 0)</f>
        <v/>
      </c>
      <c r="F840">
        <f>IF(LOWER(C840)="covered", 10.40, 7.55)</f>
        <v/>
      </c>
      <c r="G840">
        <f>E840*F840</f>
        <v/>
      </c>
      <c r="H840" t="n">
        <v>0</v>
      </c>
      <c r="I840">
        <f>G840-H840</f>
        <v/>
      </c>
    </row>
    <row r="841">
      <c r="A841" t="inlineStr">
        <is>
          <t>GW-0811</t>
        </is>
      </c>
      <c r="B841" t="inlineStr">
        <is>
          <t>Gullwing</t>
        </is>
      </c>
      <c r="C841" t="inlineStr">
        <is>
          <t>open</t>
        </is>
      </c>
      <c r="D841" t="n">
        <v>34.6</v>
      </c>
      <c r="E841">
        <f>ROUNDUP(D841, 0)</f>
        <v/>
      </c>
      <c r="F841">
        <f>IF(LOWER(C841)="covered", 10.40, 7.55)</f>
        <v/>
      </c>
      <c r="G841">
        <f>E841*F841</f>
        <v/>
      </c>
      <c r="H841" t="n">
        <v>0</v>
      </c>
      <c r="I841">
        <f>G841-H841</f>
        <v/>
      </c>
    </row>
    <row r="842">
      <c r="A842" t="inlineStr">
        <is>
          <t>GW-0812</t>
        </is>
      </c>
      <c r="B842" t="inlineStr">
        <is>
          <t>Gullwing</t>
        </is>
      </c>
      <c r="C842" t="inlineStr">
        <is>
          <t>open</t>
        </is>
      </c>
      <c r="D842" t="n">
        <v>48.3</v>
      </c>
      <c r="E842">
        <f>ROUNDUP(D842, 0)</f>
        <v/>
      </c>
      <c r="F842">
        <f>IF(LOWER(C842)="covered", 10.40, 7.55)</f>
        <v/>
      </c>
      <c r="G842">
        <f>E842*F842</f>
        <v/>
      </c>
      <c r="H842" t="n">
        <v>0</v>
      </c>
      <c r="I842">
        <f>G842-H842</f>
        <v/>
      </c>
    </row>
    <row r="843">
      <c r="A843" t="inlineStr">
        <is>
          <t>GW-0813</t>
        </is>
      </c>
      <c r="B843" t="inlineStr">
        <is>
          <t>Gullwing</t>
        </is>
      </c>
      <c r="C843" t="inlineStr">
        <is>
          <t>open</t>
        </is>
      </c>
      <c r="D843" t="n">
        <v>48.7</v>
      </c>
      <c r="E843">
        <f>ROUNDUP(D843, 0)</f>
        <v/>
      </c>
      <c r="F843">
        <f>IF(LOWER(C843)="covered", 10.40, 7.55)</f>
        <v/>
      </c>
      <c r="G843">
        <f>E843*F843</f>
        <v/>
      </c>
      <c r="H843" t="n">
        <v>0</v>
      </c>
      <c r="I843">
        <f>G843-H843</f>
        <v/>
      </c>
    </row>
    <row r="844">
      <c r="A844" t="inlineStr">
        <is>
          <t>GW-0814</t>
        </is>
      </c>
      <c r="B844" t="inlineStr">
        <is>
          <t>Gullwing</t>
        </is>
      </c>
      <c r="C844" t="inlineStr">
        <is>
          <t>open</t>
        </is>
      </c>
      <c r="D844" t="n">
        <v>33.1</v>
      </c>
      <c r="E844">
        <f>ROUNDUP(D844, 0)</f>
        <v/>
      </c>
      <c r="F844">
        <f>IF(LOWER(C844)="covered", 10.40, 7.55)</f>
        <v/>
      </c>
      <c r="G844">
        <f>E844*F844</f>
        <v/>
      </c>
      <c r="H844" t="n">
        <v>0</v>
      </c>
      <c r="I844">
        <f>G844-H844</f>
        <v/>
      </c>
    </row>
    <row r="845">
      <c r="A845" t="inlineStr">
        <is>
          <t>GW-0816</t>
        </is>
      </c>
      <c r="B845" t="inlineStr">
        <is>
          <t>Gullwing</t>
        </is>
      </c>
      <c r="C845" t="inlineStr">
        <is>
          <t>open</t>
        </is>
      </c>
      <c r="D845" t="n">
        <v>55.9</v>
      </c>
      <c r="E845">
        <f>ROUNDUP(D845, 0)</f>
        <v/>
      </c>
      <c r="F845">
        <f>IF(LOWER(C845)="covered", 10.40, 7.55)</f>
        <v/>
      </c>
      <c r="G845">
        <f>E845*F845</f>
        <v/>
      </c>
      <c r="H845" t="n">
        <v>0</v>
      </c>
      <c r="I845">
        <f>G845-H845</f>
        <v/>
      </c>
    </row>
    <row r="846">
      <c r="A846" t="inlineStr">
        <is>
          <t>GW-0817</t>
        </is>
      </c>
      <c r="B846" t="inlineStr">
        <is>
          <t>Gullwing</t>
        </is>
      </c>
      <c r="C846" t="inlineStr">
        <is>
          <t>open</t>
        </is>
      </c>
      <c r="D846" t="n">
        <v>56.6</v>
      </c>
      <c r="E846">
        <f>ROUNDUP(D846, 0)</f>
        <v/>
      </c>
      <c r="F846">
        <f>IF(LOWER(C846)="covered", 10.40, 7.55)</f>
        <v/>
      </c>
      <c r="G846">
        <f>E846*F846</f>
        <v/>
      </c>
      <c r="H846" t="n">
        <v>0</v>
      </c>
      <c r="I846">
        <f>G846-H846</f>
        <v/>
      </c>
    </row>
    <row r="847">
      <c r="A847" t="inlineStr">
        <is>
          <t>GW-0818</t>
        </is>
      </c>
      <c r="B847" t="inlineStr">
        <is>
          <t>Gullwing</t>
        </is>
      </c>
      <c r="C847" t="inlineStr">
        <is>
          <t>open</t>
        </is>
      </c>
      <c r="D847" t="n">
        <v>56</v>
      </c>
      <c r="E847">
        <f>ROUNDUP(D847, 0)</f>
        <v/>
      </c>
      <c r="F847">
        <f>IF(LOWER(C847)="covered", 10.40, 7.55)</f>
        <v/>
      </c>
      <c r="G847">
        <f>E847*F847</f>
        <v/>
      </c>
      <c r="H847" t="n">
        <v>0</v>
      </c>
      <c r="I847">
        <f>G847-H847</f>
        <v/>
      </c>
    </row>
    <row r="848">
      <c r="A848" t="inlineStr">
        <is>
          <t>GW-0819</t>
        </is>
      </c>
      <c r="B848" t="inlineStr">
        <is>
          <t>Gullwing</t>
        </is>
      </c>
      <c r="C848" t="inlineStr">
        <is>
          <t>open</t>
        </is>
      </c>
      <c r="D848" t="n">
        <v>43.9</v>
      </c>
      <c r="E848">
        <f>ROUNDUP(D848, 0)</f>
        <v/>
      </c>
      <c r="F848">
        <f>IF(LOWER(C848)="covered", 10.40, 7.55)</f>
        <v/>
      </c>
      <c r="G848">
        <f>E848*F848</f>
        <v/>
      </c>
      <c r="H848" t="n">
        <v>0</v>
      </c>
      <c r="I848">
        <f>G848-H848</f>
        <v/>
      </c>
    </row>
    <row r="849">
      <c r="A849" t="inlineStr">
        <is>
          <t>GW-0820</t>
        </is>
      </c>
      <c r="B849" t="inlineStr">
        <is>
          <t>Gullwing</t>
        </is>
      </c>
      <c r="C849" t="inlineStr">
        <is>
          <t>open</t>
        </is>
      </c>
      <c r="D849" t="n">
        <v>57.9</v>
      </c>
      <c r="E849">
        <f>ROUNDUP(D849, 0)</f>
        <v/>
      </c>
      <c r="F849">
        <f>IF(LOWER(C849)="covered", 10.40, 7.55)</f>
        <v/>
      </c>
      <c r="G849">
        <f>E849*F849</f>
        <v/>
      </c>
      <c r="H849" t="n">
        <v>0</v>
      </c>
      <c r="I849">
        <f>G849-H849</f>
        <v/>
      </c>
    </row>
    <row r="850">
      <c r="A850" t="inlineStr">
        <is>
          <t>GW-0821</t>
        </is>
      </c>
      <c r="B850" t="inlineStr">
        <is>
          <t>Gullwing</t>
        </is>
      </c>
      <c r="C850" t="inlineStr">
        <is>
          <t>open</t>
        </is>
      </c>
      <c r="D850" t="n">
        <v>48.4</v>
      </c>
      <c r="E850">
        <f>ROUNDUP(D850, 0)</f>
        <v/>
      </c>
      <c r="F850">
        <f>IF(LOWER(C850)="covered", 10.40, 7.55)</f>
        <v/>
      </c>
      <c r="G850">
        <f>E850*F850</f>
        <v/>
      </c>
      <c r="H850" t="n">
        <v>0</v>
      </c>
      <c r="I850">
        <f>G850-H850</f>
        <v/>
      </c>
    </row>
    <row r="851">
      <c r="A851" t="inlineStr">
        <is>
          <t>GW-0822</t>
        </is>
      </c>
      <c r="B851" t="inlineStr">
        <is>
          <t>Gullwing</t>
        </is>
      </c>
      <c r="C851" t="inlineStr">
        <is>
          <t>open</t>
        </is>
      </c>
      <c r="D851" t="n">
        <v>27.3</v>
      </c>
      <c r="E851">
        <f>ROUNDUP(D851, 0)</f>
        <v/>
      </c>
      <c r="F851">
        <f>IF(LOWER(C851)="covered", 10.40, 7.55)</f>
        <v/>
      </c>
      <c r="G851">
        <f>E851*F851</f>
        <v/>
      </c>
      <c r="H851" t="n">
        <v>0</v>
      </c>
      <c r="I851">
        <f>G851-H851</f>
        <v/>
      </c>
    </row>
    <row r="852">
      <c r="A852" t="inlineStr">
        <is>
          <t>GW-0823</t>
        </is>
      </c>
      <c r="B852" t="inlineStr">
        <is>
          <t>Gullwing</t>
        </is>
      </c>
      <c r="C852" t="inlineStr">
        <is>
          <t>open</t>
        </is>
      </c>
      <c r="D852" t="n">
        <v>29.8</v>
      </c>
      <c r="E852">
        <f>ROUNDUP(D852, 0)</f>
        <v/>
      </c>
      <c r="F852">
        <f>IF(LOWER(C852)="covered", 10.40, 7.55)</f>
        <v/>
      </c>
      <c r="G852">
        <f>E852*F852</f>
        <v/>
      </c>
      <c r="H852" t="n">
        <v>0</v>
      </c>
      <c r="I852">
        <f>G852-H852</f>
        <v/>
      </c>
    </row>
    <row r="853">
      <c r="A853" t="inlineStr">
        <is>
          <t>GW-0901</t>
        </is>
      </c>
      <c r="B853" t="inlineStr">
        <is>
          <t>Gullwing</t>
        </is>
      </c>
      <c r="C853" t="inlineStr">
        <is>
          <t>open</t>
        </is>
      </c>
      <c r="D853" t="n">
        <v>45.8</v>
      </c>
      <c r="E853">
        <f>ROUNDUP(D853, 0)</f>
        <v/>
      </c>
      <c r="F853">
        <f>IF(LOWER(C853)="covered", 10.40, 7.55)</f>
        <v/>
      </c>
      <c r="G853">
        <f>E853*F853</f>
        <v/>
      </c>
      <c r="H853" t="n">
        <v>0</v>
      </c>
      <c r="I853">
        <f>G853-H853</f>
        <v/>
      </c>
    </row>
    <row r="854">
      <c r="A854" t="inlineStr">
        <is>
          <t>GW-0902</t>
        </is>
      </c>
      <c r="B854" t="inlineStr">
        <is>
          <t>Gullwing</t>
        </is>
      </c>
      <c r="C854" t="inlineStr">
        <is>
          <t>open</t>
        </is>
      </c>
      <c r="D854" t="n">
        <v>59.7</v>
      </c>
      <c r="E854">
        <f>ROUNDUP(D854, 0)</f>
        <v/>
      </c>
      <c r="F854">
        <f>IF(LOWER(C854)="covered", 10.40, 7.55)</f>
        <v/>
      </c>
      <c r="G854">
        <f>E854*F854</f>
        <v/>
      </c>
      <c r="H854" t="n">
        <v>0</v>
      </c>
      <c r="I854">
        <f>G854-H854</f>
        <v/>
      </c>
    </row>
    <row r="855">
      <c r="A855" t="inlineStr">
        <is>
          <t>GW-0903</t>
        </is>
      </c>
      <c r="B855" t="inlineStr">
        <is>
          <t>Gullwing</t>
        </is>
      </c>
      <c r="C855" t="inlineStr">
        <is>
          <t>open</t>
        </is>
      </c>
      <c r="D855" t="n">
        <v>59.9</v>
      </c>
      <c r="E855">
        <f>ROUNDUP(D855, 0)</f>
        <v/>
      </c>
      <c r="F855">
        <f>IF(LOWER(C855)="covered", 10.40, 7.55)</f>
        <v/>
      </c>
      <c r="G855">
        <f>E855*F855</f>
        <v/>
      </c>
      <c r="H855" t="n">
        <v>0</v>
      </c>
      <c r="I855">
        <f>G855-H855</f>
        <v/>
      </c>
    </row>
    <row r="856">
      <c r="A856" t="inlineStr">
        <is>
          <t>GW-0904</t>
        </is>
      </c>
      <c r="B856" t="inlineStr">
        <is>
          <t>Gullwing</t>
        </is>
      </c>
      <c r="C856" t="inlineStr">
        <is>
          <t>open</t>
        </is>
      </c>
      <c r="D856" t="n">
        <v>49.7</v>
      </c>
      <c r="E856">
        <f>ROUNDUP(D856, 0)</f>
        <v/>
      </c>
      <c r="F856">
        <f>IF(LOWER(C856)="covered", 10.40, 7.55)</f>
        <v/>
      </c>
      <c r="G856">
        <f>E856*F856</f>
        <v/>
      </c>
      <c r="H856" t="n">
        <v>0</v>
      </c>
      <c r="I856">
        <f>G856-H856</f>
        <v/>
      </c>
    </row>
    <row r="857">
      <c r="A857" t="inlineStr">
        <is>
          <t>GW-0905</t>
        </is>
      </c>
      <c r="B857" t="inlineStr">
        <is>
          <t>Gullwing</t>
        </is>
      </c>
      <c r="C857" t="inlineStr">
        <is>
          <t>open</t>
        </is>
      </c>
      <c r="D857" t="n">
        <v>38.9</v>
      </c>
      <c r="E857">
        <f>ROUNDUP(D857, 0)</f>
        <v/>
      </c>
      <c r="F857">
        <f>IF(LOWER(C857)="covered", 10.40, 7.55)</f>
        <v/>
      </c>
      <c r="G857">
        <f>E857*F857</f>
        <v/>
      </c>
      <c r="H857" t="n">
        <v>0</v>
      </c>
      <c r="I857">
        <f>G857-H857</f>
        <v/>
      </c>
    </row>
    <row r="858">
      <c r="A858" t="inlineStr">
        <is>
          <t>GW-0906</t>
        </is>
      </c>
      <c r="B858" t="inlineStr">
        <is>
          <t>Gullwing</t>
        </is>
      </c>
      <c r="C858" t="inlineStr">
        <is>
          <t>open</t>
        </is>
      </c>
      <c r="D858" t="n">
        <v>53.3</v>
      </c>
      <c r="E858">
        <f>ROUNDUP(D858, 0)</f>
        <v/>
      </c>
      <c r="F858">
        <f>IF(LOWER(C858)="covered", 10.40, 7.55)</f>
        <v/>
      </c>
      <c r="G858">
        <f>E858*F858</f>
        <v/>
      </c>
      <c r="H858" t="n">
        <v>0</v>
      </c>
      <c r="I858">
        <f>G858-H858</f>
        <v/>
      </c>
    </row>
    <row r="859">
      <c r="A859" t="inlineStr">
        <is>
          <t>GW-0907</t>
        </is>
      </c>
      <c r="B859" t="inlineStr">
        <is>
          <t>Gullwing</t>
        </is>
      </c>
      <c r="C859" t="inlineStr">
        <is>
          <t>open</t>
        </is>
      </c>
      <c r="D859" t="n">
        <v>25.5</v>
      </c>
      <c r="E859">
        <f>ROUNDUP(D859, 0)</f>
        <v/>
      </c>
      <c r="F859">
        <f>IF(LOWER(C859)="covered", 10.40, 7.55)</f>
        <v/>
      </c>
      <c r="G859">
        <f>E859*F859</f>
        <v/>
      </c>
      <c r="H859" t="n">
        <v>0</v>
      </c>
      <c r="I859">
        <f>G859-H859</f>
        <v/>
      </c>
    </row>
    <row r="860">
      <c r="A860" t="inlineStr">
        <is>
          <t>GW-0908</t>
        </is>
      </c>
      <c r="B860" t="inlineStr">
        <is>
          <t>Gullwing</t>
        </is>
      </c>
      <c r="C860" t="inlineStr">
        <is>
          <t>open</t>
        </is>
      </c>
      <c r="D860" t="n">
        <v>50.9</v>
      </c>
      <c r="E860">
        <f>ROUNDUP(D860, 0)</f>
        <v/>
      </c>
      <c r="F860">
        <f>IF(LOWER(C860)="covered", 10.40, 7.55)</f>
        <v/>
      </c>
      <c r="G860">
        <f>E860*F860</f>
        <v/>
      </c>
      <c r="H860" t="n">
        <v>0</v>
      </c>
      <c r="I860">
        <f>G860-H860</f>
        <v/>
      </c>
    </row>
    <row r="861">
      <c r="A861" t="inlineStr">
        <is>
          <t>GW-0909</t>
        </is>
      </c>
      <c r="B861" t="inlineStr">
        <is>
          <t>Gullwing</t>
        </is>
      </c>
      <c r="C861" t="inlineStr">
        <is>
          <t>open</t>
        </is>
      </c>
      <c r="D861" t="n">
        <v>29</v>
      </c>
      <c r="E861">
        <f>ROUNDUP(D861, 0)</f>
        <v/>
      </c>
      <c r="F861">
        <f>IF(LOWER(C861)="covered", 10.40, 7.55)</f>
        <v/>
      </c>
      <c r="G861">
        <f>E861*F861</f>
        <v/>
      </c>
      <c r="H861" t="n">
        <v>0</v>
      </c>
      <c r="I861">
        <f>G861-H861</f>
        <v/>
      </c>
    </row>
    <row r="862">
      <c r="A862" t="inlineStr">
        <is>
          <t>GW-0910</t>
        </is>
      </c>
      <c r="B862" t="inlineStr">
        <is>
          <t>Gullwing</t>
        </is>
      </c>
      <c r="C862" t="inlineStr">
        <is>
          <t>open</t>
        </is>
      </c>
      <c r="D862" t="n">
        <v>25.9</v>
      </c>
      <c r="E862">
        <f>ROUNDUP(D862, 0)</f>
        <v/>
      </c>
      <c r="F862">
        <f>IF(LOWER(C862)="covered", 10.40, 7.55)</f>
        <v/>
      </c>
      <c r="G862">
        <f>E862*F862</f>
        <v/>
      </c>
      <c r="H862" t="n">
        <v>0</v>
      </c>
      <c r="I862">
        <f>G862-H862</f>
        <v/>
      </c>
    </row>
    <row r="863">
      <c r="A863" t="inlineStr">
        <is>
          <t>GW-0911</t>
        </is>
      </c>
      <c r="B863" t="inlineStr">
        <is>
          <t>Gullwing</t>
        </is>
      </c>
      <c r="C863" t="inlineStr">
        <is>
          <t>open</t>
        </is>
      </c>
      <c r="D863" t="n">
        <v>36.5</v>
      </c>
      <c r="E863">
        <f>ROUNDUP(D863, 0)</f>
        <v/>
      </c>
      <c r="F863">
        <f>IF(LOWER(C863)="covered", 10.40, 7.55)</f>
        <v/>
      </c>
      <c r="G863">
        <f>E863*F863</f>
        <v/>
      </c>
      <c r="H863" t="n">
        <v>0</v>
      </c>
      <c r="I863">
        <f>G863-H863</f>
        <v/>
      </c>
    </row>
    <row r="864">
      <c r="A864" t="inlineStr">
        <is>
          <t>GW-0912</t>
        </is>
      </c>
      <c r="B864" t="inlineStr">
        <is>
          <t>Gullwing</t>
        </is>
      </c>
      <c r="C864" t="inlineStr">
        <is>
          <t>open</t>
        </is>
      </c>
      <c r="D864" t="n">
        <v>59</v>
      </c>
      <c r="E864">
        <f>ROUNDUP(D864, 0)</f>
        <v/>
      </c>
      <c r="F864">
        <f>IF(LOWER(C864)="covered", 10.40, 7.55)</f>
        <v/>
      </c>
      <c r="G864">
        <f>E864*F864</f>
        <v/>
      </c>
      <c r="H864" t="n">
        <v>0</v>
      </c>
      <c r="I864">
        <f>G864-H864</f>
        <v/>
      </c>
    </row>
    <row r="865">
      <c r="A865" t="inlineStr">
        <is>
          <t>GW-0913</t>
        </is>
      </c>
      <c r="B865" t="inlineStr">
        <is>
          <t>Gullwing</t>
        </is>
      </c>
      <c r="C865" t="inlineStr">
        <is>
          <t>open</t>
        </is>
      </c>
      <c r="D865" t="n">
        <v>53.1</v>
      </c>
      <c r="E865">
        <f>ROUNDUP(D865, 0)</f>
        <v/>
      </c>
      <c r="F865">
        <f>IF(LOWER(C865)="covered", 10.40, 7.55)</f>
        <v/>
      </c>
      <c r="G865">
        <f>E865*F865</f>
        <v/>
      </c>
      <c r="H865" t="n">
        <v>0</v>
      </c>
      <c r="I865">
        <f>G865-H865</f>
        <v/>
      </c>
    </row>
    <row r="866">
      <c r="A866" t="inlineStr">
        <is>
          <t>GW-0914</t>
        </is>
      </c>
      <c r="B866" t="inlineStr">
        <is>
          <t>Gullwing</t>
        </is>
      </c>
      <c r="C866" t="inlineStr">
        <is>
          <t>open</t>
        </is>
      </c>
      <c r="D866" t="n">
        <v>45.4</v>
      </c>
      <c r="E866">
        <f>ROUNDUP(D866, 0)</f>
        <v/>
      </c>
      <c r="F866">
        <f>IF(LOWER(C866)="covered", 10.40, 7.55)</f>
        <v/>
      </c>
      <c r="G866">
        <f>E866*F866</f>
        <v/>
      </c>
      <c r="H866" t="n">
        <v>0</v>
      </c>
      <c r="I866">
        <f>G866-H866</f>
        <v/>
      </c>
    </row>
    <row r="867">
      <c r="A867" t="inlineStr">
        <is>
          <t>GW-0915</t>
        </is>
      </c>
      <c r="B867" t="inlineStr">
        <is>
          <t>Gullwing</t>
        </is>
      </c>
      <c r="C867" t="inlineStr">
        <is>
          <t>open</t>
        </is>
      </c>
      <c r="D867" t="n">
        <v>55.2</v>
      </c>
      <c r="E867">
        <f>ROUNDUP(D867, 0)</f>
        <v/>
      </c>
      <c r="F867">
        <f>IF(LOWER(C867)="covered", 10.40, 7.55)</f>
        <v/>
      </c>
      <c r="G867">
        <f>E867*F867</f>
        <v/>
      </c>
      <c r="H867" t="n">
        <v>0</v>
      </c>
      <c r="I867">
        <f>G867-H867</f>
        <v/>
      </c>
    </row>
    <row r="868">
      <c r="A868" t="inlineStr">
        <is>
          <t>GW-0916</t>
        </is>
      </c>
      <c r="B868" t="inlineStr">
        <is>
          <t>Gullwing</t>
        </is>
      </c>
      <c r="C868" t="inlineStr">
        <is>
          <t>open</t>
        </is>
      </c>
      <c r="D868" t="n">
        <v>61.5</v>
      </c>
      <c r="E868">
        <f>ROUNDUP(D868, 0)</f>
        <v/>
      </c>
      <c r="F868">
        <f>IF(LOWER(C868)="covered", 10.40, 7.55)</f>
        <v/>
      </c>
      <c r="G868">
        <f>E868*F868</f>
        <v/>
      </c>
      <c r="H868" t="n">
        <v>0</v>
      </c>
      <c r="I868">
        <f>G868-H868</f>
        <v/>
      </c>
    </row>
    <row r="869">
      <c r="A869" t="inlineStr">
        <is>
          <t>GW-0917</t>
        </is>
      </c>
      <c r="B869" t="inlineStr">
        <is>
          <t>Gullwing</t>
        </is>
      </c>
      <c r="C869" t="inlineStr">
        <is>
          <t>open</t>
        </is>
      </c>
      <c r="D869" t="n">
        <v>56.4</v>
      </c>
      <c r="E869">
        <f>ROUNDUP(D869, 0)</f>
        <v/>
      </c>
      <c r="F869">
        <f>IF(LOWER(C869)="covered", 10.40, 7.55)</f>
        <v/>
      </c>
      <c r="G869">
        <f>E869*F869</f>
        <v/>
      </c>
      <c r="H869" t="n">
        <v>0</v>
      </c>
      <c r="I869">
        <f>G869-H869</f>
        <v/>
      </c>
    </row>
    <row r="870">
      <c r="A870" t="inlineStr">
        <is>
          <t>GW-0918</t>
        </is>
      </c>
      <c r="B870" t="inlineStr">
        <is>
          <t>Gullwing</t>
        </is>
      </c>
      <c r="C870" t="inlineStr">
        <is>
          <t>open</t>
        </is>
      </c>
      <c r="D870" t="n">
        <v>61.6</v>
      </c>
      <c r="E870">
        <f>ROUNDUP(D870, 0)</f>
        <v/>
      </c>
      <c r="F870">
        <f>IF(LOWER(C870)="covered", 10.40, 7.55)</f>
        <v/>
      </c>
      <c r="G870">
        <f>E870*F870</f>
        <v/>
      </c>
      <c r="H870" t="n">
        <v>0</v>
      </c>
      <c r="I870">
        <f>G870-H870</f>
        <v/>
      </c>
    </row>
    <row r="871">
      <c r="A871" t="inlineStr">
        <is>
          <t>GW-0919</t>
        </is>
      </c>
      <c r="B871" t="inlineStr">
        <is>
          <t>Gullwing</t>
        </is>
      </c>
      <c r="C871" t="inlineStr">
        <is>
          <t>open</t>
        </is>
      </c>
      <c r="D871" t="n">
        <v>53.5</v>
      </c>
      <c r="E871">
        <f>ROUNDUP(D871, 0)</f>
        <v/>
      </c>
      <c r="F871">
        <f>IF(LOWER(C871)="covered", 10.40, 7.55)</f>
        <v/>
      </c>
      <c r="G871">
        <f>E871*F871</f>
        <v/>
      </c>
      <c r="H871" t="n">
        <v>0</v>
      </c>
      <c r="I871">
        <f>G871-H871</f>
        <v/>
      </c>
    </row>
    <row r="872">
      <c r="A872" t="inlineStr">
        <is>
          <t>GW-0920</t>
        </is>
      </c>
      <c r="B872" t="inlineStr">
        <is>
          <t>Gullwing</t>
        </is>
      </c>
      <c r="C872" t="inlineStr">
        <is>
          <t>open</t>
        </is>
      </c>
      <c r="D872" t="n">
        <v>35.7</v>
      </c>
      <c r="E872">
        <f>ROUNDUP(D872, 0)</f>
        <v/>
      </c>
      <c r="F872">
        <f>IF(LOWER(C872)="covered", 10.40, 7.55)</f>
        <v/>
      </c>
      <c r="G872">
        <f>E872*F872</f>
        <v/>
      </c>
      <c r="H872" t="n">
        <v>0</v>
      </c>
      <c r="I872">
        <f>G872-H872</f>
        <v/>
      </c>
    </row>
    <row r="873">
      <c r="A873" t="inlineStr">
        <is>
          <t>GW-0921</t>
        </is>
      </c>
      <c r="B873" t="inlineStr">
        <is>
          <t>Gullwing</t>
        </is>
      </c>
      <c r="C873" t="inlineStr">
        <is>
          <t>open</t>
        </is>
      </c>
      <c r="D873" t="n">
        <v>46.7</v>
      </c>
      <c r="E873">
        <f>ROUNDUP(D873, 0)</f>
        <v/>
      </c>
      <c r="F873">
        <f>IF(LOWER(C873)="covered", 10.40, 7.55)</f>
        <v/>
      </c>
      <c r="G873">
        <f>E873*F873</f>
        <v/>
      </c>
      <c r="H873" t="n">
        <v>0</v>
      </c>
      <c r="I873">
        <f>G873-H873</f>
        <v/>
      </c>
    </row>
    <row r="874">
      <c r="A874" t="inlineStr">
        <is>
          <t>GW-0922</t>
        </is>
      </c>
      <c r="B874" t="inlineStr">
        <is>
          <t>Gullwing</t>
        </is>
      </c>
      <c r="C874" t="inlineStr">
        <is>
          <t>open</t>
        </is>
      </c>
      <c r="D874" t="n">
        <v>47.4</v>
      </c>
      <c r="E874">
        <f>ROUNDUP(D874, 0)</f>
        <v/>
      </c>
      <c r="F874">
        <f>IF(LOWER(C874)="covered", 10.40, 7.55)</f>
        <v/>
      </c>
      <c r="G874">
        <f>E874*F874</f>
        <v/>
      </c>
      <c r="H874" t="n">
        <v>0</v>
      </c>
      <c r="I874">
        <f>G874-H874</f>
        <v/>
      </c>
    </row>
    <row r="875">
      <c r="A875" t="inlineStr">
        <is>
          <t>GW-0923</t>
        </is>
      </c>
      <c r="B875" t="inlineStr">
        <is>
          <t>Gullwing</t>
        </is>
      </c>
      <c r="C875" t="inlineStr">
        <is>
          <t>open</t>
        </is>
      </c>
      <c r="D875" t="n">
        <v>26.3</v>
      </c>
      <c r="E875">
        <f>ROUNDUP(D875, 0)</f>
        <v/>
      </c>
      <c r="F875">
        <f>IF(LOWER(C875)="covered", 10.40, 7.55)</f>
        <v/>
      </c>
      <c r="G875">
        <f>E875*F875</f>
        <v/>
      </c>
      <c r="H875" t="n">
        <v>0</v>
      </c>
      <c r="I875">
        <f>G875-H875</f>
        <v/>
      </c>
    </row>
    <row r="876">
      <c r="A876" t="inlineStr">
        <is>
          <t>GW-1001</t>
        </is>
      </c>
      <c r="B876" t="inlineStr">
        <is>
          <t>Gullwing</t>
        </is>
      </c>
      <c r="C876" t="inlineStr">
        <is>
          <t>open</t>
        </is>
      </c>
      <c r="D876" t="n">
        <v>47.2</v>
      </c>
      <c r="E876">
        <f>ROUNDUP(D876, 0)</f>
        <v/>
      </c>
      <c r="F876">
        <f>IF(LOWER(C876)="covered", 10.40, 7.55)</f>
        <v/>
      </c>
      <c r="G876">
        <f>E876*F876</f>
        <v/>
      </c>
      <c r="H876" t="n">
        <v>0</v>
      </c>
      <c r="I876">
        <f>G876-H876</f>
        <v/>
      </c>
    </row>
    <row r="877">
      <c r="A877" t="inlineStr">
        <is>
          <t>GW-1002</t>
        </is>
      </c>
      <c r="B877" t="inlineStr">
        <is>
          <t>Gullwing</t>
        </is>
      </c>
      <c r="C877" t="inlineStr">
        <is>
          <t>open</t>
        </is>
      </c>
      <c r="D877" t="n">
        <v>36.7</v>
      </c>
      <c r="E877">
        <f>ROUNDUP(D877, 0)</f>
        <v/>
      </c>
      <c r="F877">
        <f>IF(LOWER(C877)="covered", 10.40, 7.55)</f>
        <v/>
      </c>
      <c r="G877">
        <f>E877*F877</f>
        <v/>
      </c>
      <c r="H877" t="n">
        <v>0</v>
      </c>
      <c r="I877">
        <f>G877-H877</f>
        <v/>
      </c>
    </row>
    <row r="878">
      <c r="A878" t="inlineStr">
        <is>
          <t>GW-1003</t>
        </is>
      </c>
      <c r="B878" t="inlineStr">
        <is>
          <t>Gullwing</t>
        </is>
      </c>
      <c r="C878" t="inlineStr">
        <is>
          <t>open</t>
        </is>
      </c>
      <c r="D878" t="n">
        <v>19</v>
      </c>
      <c r="E878">
        <f>ROUNDUP(D878, 0)</f>
        <v/>
      </c>
      <c r="F878">
        <f>IF(LOWER(C878)="covered", 10.40, 7.55)</f>
        <v/>
      </c>
      <c r="G878">
        <f>E878*F878</f>
        <v/>
      </c>
      <c r="H878" t="n">
        <v>0</v>
      </c>
      <c r="I878">
        <f>G878-H878</f>
        <v/>
      </c>
    </row>
    <row r="879">
      <c r="A879" t="inlineStr">
        <is>
          <t>GW-1004</t>
        </is>
      </c>
      <c r="B879" t="inlineStr">
        <is>
          <t>Gullwing</t>
        </is>
      </c>
      <c r="C879" t="inlineStr">
        <is>
          <t>open</t>
        </is>
      </c>
      <c r="D879" t="n">
        <v>25.8</v>
      </c>
      <c r="E879">
        <f>ROUNDUP(D879, 0)</f>
        <v/>
      </c>
      <c r="F879">
        <f>IF(LOWER(C879)="covered", 10.40, 7.55)</f>
        <v/>
      </c>
      <c r="G879">
        <f>E879*F879</f>
        <v/>
      </c>
      <c r="H879" t="n">
        <v>0</v>
      </c>
      <c r="I879">
        <f>G879-H879</f>
        <v/>
      </c>
    </row>
    <row r="880">
      <c r="A880" t="inlineStr">
        <is>
          <t>GW-1005</t>
        </is>
      </c>
      <c r="B880" t="inlineStr">
        <is>
          <t>Gullwing</t>
        </is>
      </c>
      <c r="C880" t="inlineStr">
        <is>
          <t>open</t>
        </is>
      </c>
      <c r="D880" t="n">
        <v>58.4</v>
      </c>
      <c r="E880">
        <f>ROUNDUP(D880, 0)</f>
        <v/>
      </c>
      <c r="F880">
        <f>IF(LOWER(C880)="covered", 10.40, 7.55)</f>
        <v/>
      </c>
      <c r="G880">
        <f>E880*F880</f>
        <v/>
      </c>
      <c r="H880" t="n">
        <v>0</v>
      </c>
      <c r="I880">
        <f>G880-H880</f>
        <v/>
      </c>
    </row>
    <row r="881">
      <c r="A881" t="inlineStr">
        <is>
          <t>GW-1006</t>
        </is>
      </c>
      <c r="B881" t="inlineStr">
        <is>
          <t>Gullwing</t>
        </is>
      </c>
      <c r="C881" t="inlineStr">
        <is>
          <t>open</t>
        </is>
      </c>
      <c r="D881" t="n">
        <v>31.4</v>
      </c>
      <c r="E881">
        <f>ROUNDUP(D881, 0)</f>
        <v/>
      </c>
      <c r="F881">
        <f>IF(LOWER(C881)="covered", 10.40, 7.55)</f>
        <v/>
      </c>
      <c r="G881">
        <f>E881*F881</f>
        <v/>
      </c>
      <c r="H881" t="n">
        <v>0</v>
      </c>
      <c r="I881">
        <f>G881-H881</f>
        <v/>
      </c>
    </row>
    <row r="882">
      <c r="A882" t="inlineStr">
        <is>
          <t>GW-1007</t>
        </is>
      </c>
      <c r="B882" t="inlineStr">
        <is>
          <t>Gullwing</t>
        </is>
      </c>
      <c r="C882" t="inlineStr">
        <is>
          <t>open</t>
        </is>
      </c>
      <c r="D882" t="n">
        <v>29.1</v>
      </c>
      <c r="E882">
        <f>ROUNDUP(D882, 0)</f>
        <v/>
      </c>
      <c r="F882">
        <f>IF(LOWER(C882)="covered", 10.40, 7.55)</f>
        <v/>
      </c>
      <c r="G882">
        <f>E882*F882</f>
        <v/>
      </c>
      <c r="H882" t="n">
        <v>0</v>
      </c>
      <c r="I882">
        <f>G882-H882</f>
        <v/>
      </c>
    </row>
    <row r="883">
      <c r="A883" t="inlineStr">
        <is>
          <t>GW-1008</t>
        </is>
      </c>
      <c r="B883" t="inlineStr">
        <is>
          <t>Gullwing</t>
        </is>
      </c>
      <c r="C883" t="inlineStr">
        <is>
          <t>open</t>
        </is>
      </c>
      <c r="D883" t="n">
        <v>58.3</v>
      </c>
      <c r="E883">
        <f>ROUNDUP(D883, 0)</f>
        <v/>
      </c>
      <c r="F883">
        <f>IF(LOWER(C883)="covered", 10.40, 7.55)</f>
        <v/>
      </c>
      <c r="G883">
        <f>E883*F883</f>
        <v/>
      </c>
      <c r="H883" t="n">
        <v>0</v>
      </c>
      <c r="I883">
        <f>G883-H883</f>
        <v/>
      </c>
    </row>
    <row r="884">
      <c r="A884" t="inlineStr">
        <is>
          <t>GW-1009</t>
        </is>
      </c>
      <c r="B884" t="inlineStr">
        <is>
          <t>Gullwing</t>
        </is>
      </c>
      <c r="C884" t="inlineStr">
        <is>
          <t>open</t>
        </is>
      </c>
      <c r="D884" t="n">
        <v>47.5</v>
      </c>
      <c r="E884">
        <f>ROUNDUP(D884, 0)</f>
        <v/>
      </c>
      <c r="F884">
        <f>IF(LOWER(C884)="covered", 10.40, 7.55)</f>
        <v/>
      </c>
      <c r="G884">
        <f>E884*F884</f>
        <v/>
      </c>
      <c r="H884" t="n">
        <v>0</v>
      </c>
      <c r="I884">
        <f>G884-H884</f>
        <v/>
      </c>
    </row>
    <row r="885">
      <c r="A885" t="inlineStr">
        <is>
          <t>GW-1010</t>
        </is>
      </c>
      <c r="B885" t="inlineStr">
        <is>
          <t>Gullwing</t>
        </is>
      </c>
      <c r="C885" t="inlineStr">
        <is>
          <t>open</t>
        </is>
      </c>
      <c r="D885" t="n">
        <v>27.2</v>
      </c>
      <c r="E885">
        <f>ROUNDUP(D885, 0)</f>
        <v/>
      </c>
      <c r="F885">
        <f>IF(LOWER(C885)="covered", 10.40, 7.55)</f>
        <v/>
      </c>
      <c r="G885">
        <f>E885*F885</f>
        <v/>
      </c>
      <c r="H885" t="n">
        <v>0</v>
      </c>
      <c r="I885">
        <f>G885-H885</f>
        <v/>
      </c>
    </row>
    <row r="886">
      <c r="A886" t="inlineStr">
        <is>
          <t>GW-1011</t>
        </is>
      </c>
      <c r="B886" t="inlineStr">
        <is>
          <t>Gullwing</t>
        </is>
      </c>
      <c r="C886" t="inlineStr">
        <is>
          <t>open</t>
        </is>
      </c>
      <c r="D886" t="n">
        <v>51.7</v>
      </c>
      <c r="E886">
        <f>ROUNDUP(D886, 0)</f>
        <v/>
      </c>
      <c r="F886">
        <f>IF(LOWER(C886)="covered", 10.40, 7.55)</f>
        <v/>
      </c>
      <c r="G886">
        <f>E886*F886</f>
        <v/>
      </c>
      <c r="H886" t="n">
        <v>0</v>
      </c>
      <c r="I886">
        <f>G886-H886</f>
        <v/>
      </c>
    </row>
    <row r="887">
      <c r="A887" t="inlineStr">
        <is>
          <t>GW-1012</t>
        </is>
      </c>
      <c r="B887" t="inlineStr">
        <is>
          <t>Gullwing</t>
        </is>
      </c>
      <c r="C887" t="inlineStr">
        <is>
          <t>open</t>
        </is>
      </c>
      <c r="D887" t="n">
        <v>48</v>
      </c>
      <c r="E887">
        <f>ROUNDUP(D887, 0)</f>
        <v/>
      </c>
      <c r="F887">
        <f>IF(LOWER(C887)="covered", 10.40, 7.55)</f>
        <v/>
      </c>
      <c r="G887">
        <f>E887*F887</f>
        <v/>
      </c>
      <c r="H887" t="n">
        <v>0</v>
      </c>
      <c r="I887">
        <f>G887-H887</f>
        <v/>
      </c>
    </row>
    <row r="888">
      <c r="A888" t="inlineStr">
        <is>
          <t>GW-1013</t>
        </is>
      </c>
      <c r="B888" t="inlineStr">
        <is>
          <t>Gullwing</t>
        </is>
      </c>
      <c r="C888" t="inlineStr">
        <is>
          <t>open</t>
        </is>
      </c>
      <c r="D888" t="n">
        <v>27.1</v>
      </c>
      <c r="E888">
        <f>ROUNDUP(D888, 0)</f>
        <v/>
      </c>
      <c r="F888">
        <f>IF(LOWER(C888)="covered", 10.40, 7.55)</f>
        <v/>
      </c>
      <c r="G888">
        <f>E888*F888</f>
        <v/>
      </c>
      <c r="H888" t="n">
        <v>0</v>
      </c>
      <c r="I888">
        <f>G888-H888</f>
        <v/>
      </c>
    </row>
    <row r="889">
      <c r="A889" t="inlineStr">
        <is>
          <t>GW-1014</t>
        </is>
      </c>
      <c r="B889" t="inlineStr">
        <is>
          <t>Gullwing</t>
        </is>
      </c>
      <c r="C889" t="inlineStr">
        <is>
          <t>open</t>
        </is>
      </c>
      <c r="D889" t="n">
        <v>30.6</v>
      </c>
      <c r="E889">
        <f>ROUNDUP(D889, 0)</f>
        <v/>
      </c>
      <c r="F889">
        <f>IF(LOWER(C889)="covered", 10.40, 7.55)</f>
        <v/>
      </c>
      <c r="G889">
        <f>E889*F889</f>
        <v/>
      </c>
      <c r="H889" t="n">
        <v>0</v>
      </c>
      <c r="I889">
        <f>G889-H889</f>
        <v/>
      </c>
    </row>
    <row r="890">
      <c r="A890" t="inlineStr">
        <is>
          <t>GW-1015</t>
        </is>
      </c>
      <c r="B890" t="inlineStr">
        <is>
          <t>Gullwing</t>
        </is>
      </c>
      <c r="C890" t="inlineStr">
        <is>
          <t>open</t>
        </is>
      </c>
      <c r="D890" t="n">
        <v>50.8</v>
      </c>
      <c r="E890">
        <f>ROUNDUP(D890, 0)</f>
        <v/>
      </c>
      <c r="F890">
        <f>IF(LOWER(C890)="covered", 10.40, 7.55)</f>
        <v/>
      </c>
      <c r="G890">
        <f>E890*F890</f>
        <v/>
      </c>
      <c r="H890" t="n">
        <v>0</v>
      </c>
      <c r="I890">
        <f>G890-H890</f>
        <v/>
      </c>
    </row>
    <row r="891">
      <c r="A891" t="inlineStr">
        <is>
          <t>GW-1016</t>
        </is>
      </c>
      <c r="B891" t="inlineStr">
        <is>
          <t>Gullwing</t>
        </is>
      </c>
      <c r="C891" t="inlineStr">
        <is>
          <t>open</t>
        </is>
      </c>
      <c r="D891" t="n">
        <v>31.6</v>
      </c>
      <c r="E891">
        <f>ROUNDUP(D891, 0)</f>
        <v/>
      </c>
      <c r="F891">
        <f>IF(LOWER(C891)="covered", 10.40, 7.55)</f>
        <v/>
      </c>
      <c r="G891">
        <f>E891*F891</f>
        <v/>
      </c>
      <c r="H891" t="n">
        <v>0</v>
      </c>
      <c r="I891">
        <f>G891-H891</f>
        <v/>
      </c>
    </row>
    <row r="892">
      <c r="A892" t="inlineStr">
        <is>
          <t>GW-1017</t>
        </is>
      </c>
      <c r="B892" t="inlineStr">
        <is>
          <t>Gullwing</t>
        </is>
      </c>
      <c r="C892" t="inlineStr">
        <is>
          <t>open</t>
        </is>
      </c>
      <c r="D892" t="n">
        <v>22.5</v>
      </c>
      <c r="E892">
        <f>ROUNDUP(D892, 0)</f>
        <v/>
      </c>
      <c r="F892">
        <f>IF(LOWER(C892)="covered", 10.40, 7.55)</f>
        <v/>
      </c>
      <c r="G892">
        <f>E892*F892</f>
        <v/>
      </c>
      <c r="H892" t="n">
        <v>0</v>
      </c>
      <c r="I892">
        <f>G892-H892</f>
        <v/>
      </c>
    </row>
    <row r="893">
      <c r="A893" t="inlineStr">
        <is>
          <t>GW-1018</t>
        </is>
      </c>
      <c r="B893" t="inlineStr">
        <is>
          <t>Gullwing</t>
        </is>
      </c>
      <c r="C893" t="inlineStr">
        <is>
          <t>open</t>
        </is>
      </c>
      <c r="D893" t="n">
        <v>51</v>
      </c>
      <c r="E893">
        <f>ROUNDUP(D893, 0)</f>
        <v/>
      </c>
      <c r="F893">
        <f>IF(LOWER(C893)="covered", 10.40, 7.55)</f>
        <v/>
      </c>
      <c r="G893">
        <f>E893*F893</f>
        <v/>
      </c>
      <c r="H893" t="n">
        <v>0</v>
      </c>
      <c r="I893">
        <f>G893-H893</f>
        <v/>
      </c>
    </row>
    <row r="894">
      <c r="A894" t="inlineStr">
        <is>
          <t>GW-1019</t>
        </is>
      </c>
      <c r="B894" t="inlineStr">
        <is>
          <t>Gullwing</t>
        </is>
      </c>
      <c r="C894" t="inlineStr">
        <is>
          <t>open</t>
        </is>
      </c>
      <c r="D894" t="n">
        <v>42.1</v>
      </c>
      <c r="E894">
        <f>ROUNDUP(D894, 0)</f>
        <v/>
      </c>
      <c r="F894">
        <f>IF(LOWER(C894)="covered", 10.40, 7.55)</f>
        <v/>
      </c>
      <c r="G894">
        <f>E894*F894</f>
        <v/>
      </c>
      <c r="H894" t="n">
        <v>0</v>
      </c>
      <c r="I894">
        <f>G894-H894</f>
        <v/>
      </c>
    </row>
    <row r="895">
      <c r="A895" t="inlineStr">
        <is>
          <t>GW-1020</t>
        </is>
      </c>
      <c r="B895" t="inlineStr">
        <is>
          <t>Gullwing</t>
        </is>
      </c>
      <c r="C895" t="inlineStr">
        <is>
          <t>open</t>
        </is>
      </c>
      <c r="D895" t="n">
        <v>19.8</v>
      </c>
      <c r="E895">
        <f>ROUNDUP(D895, 0)</f>
        <v/>
      </c>
      <c r="F895">
        <f>IF(LOWER(C895)="covered", 10.40, 7.55)</f>
        <v/>
      </c>
      <c r="G895">
        <f>E895*F895</f>
        <v/>
      </c>
      <c r="H895" t="n">
        <v>0</v>
      </c>
      <c r="I895">
        <f>G895-H895</f>
        <v/>
      </c>
    </row>
    <row r="896">
      <c r="A896" t="inlineStr">
        <is>
          <t>GW-1021</t>
        </is>
      </c>
      <c r="B896" t="inlineStr">
        <is>
          <t>Gullwing</t>
        </is>
      </c>
      <c r="C896" t="inlineStr">
        <is>
          <t>open</t>
        </is>
      </c>
      <c r="D896" t="n">
        <v>28.5</v>
      </c>
      <c r="E896">
        <f>ROUNDUP(D896, 0)</f>
        <v/>
      </c>
      <c r="F896">
        <f>IF(LOWER(C896)="covered", 10.40, 7.55)</f>
        <v/>
      </c>
      <c r="G896">
        <f>E896*F896</f>
        <v/>
      </c>
      <c r="H896" t="n">
        <v>0</v>
      </c>
      <c r="I896">
        <f>G896-H896</f>
        <v/>
      </c>
    </row>
    <row r="897">
      <c r="A897" t="inlineStr">
        <is>
          <t>GW-1023</t>
        </is>
      </c>
      <c r="B897" t="inlineStr">
        <is>
          <t>Gullwing</t>
        </is>
      </c>
      <c r="C897" t="inlineStr">
        <is>
          <t>open</t>
        </is>
      </c>
      <c r="D897" t="n">
        <v>35</v>
      </c>
      <c r="E897">
        <f>ROUNDUP(D897, 0)</f>
        <v/>
      </c>
      <c r="F897">
        <f>IF(LOWER(C897)="covered", 10.40, 7.55)</f>
        <v/>
      </c>
      <c r="G897">
        <f>E897*F897</f>
        <v/>
      </c>
      <c r="H897" t="n">
        <v>0</v>
      </c>
      <c r="I897">
        <f>G897-H897</f>
        <v/>
      </c>
    </row>
    <row r="898">
      <c r="A898" t="inlineStr">
        <is>
          <t>SB-0101</t>
        </is>
      </c>
      <c r="B898" t="inlineStr">
        <is>
          <t>Salmonberry</t>
        </is>
      </c>
      <c r="C898" t="inlineStr">
        <is>
          <t>open</t>
        </is>
      </c>
      <c r="D898" t="n">
        <v>27.6</v>
      </c>
      <c r="E898">
        <f>ROUNDUP(D898, 0)</f>
        <v/>
      </c>
      <c r="F898">
        <f>IF(LOWER(C898)="covered", 10.40, 7.55)</f>
        <v/>
      </c>
      <c r="G898">
        <f>E898*F898</f>
        <v/>
      </c>
      <c r="H898" t="n">
        <v>0</v>
      </c>
      <c r="I898">
        <f>G898-H898</f>
        <v/>
      </c>
    </row>
    <row r="899">
      <c r="A899" t="inlineStr">
        <is>
          <t>SB-0102</t>
        </is>
      </c>
      <c r="B899" t="inlineStr">
        <is>
          <t>Salmonberry</t>
        </is>
      </c>
      <c r="C899" t="inlineStr">
        <is>
          <t>open</t>
        </is>
      </c>
      <c r="D899" t="n">
        <v>44.3</v>
      </c>
      <c r="E899">
        <f>ROUNDUP(D899, 0)</f>
        <v/>
      </c>
      <c r="F899">
        <f>IF(LOWER(C899)="covered", 10.40, 7.55)</f>
        <v/>
      </c>
      <c r="G899">
        <f>E899*F899</f>
        <v/>
      </c>
      <c r="H899" t="n">
        <v>0</v>
      </c>
      <c r="I899">
        <f>G899-H899</f>
        <v/>
      </c>
    </row>
    <row r="900">
      <c r="A900" t="inlineStr">
        <is>
          <t>SB-0103</t>
        </is>
      </c>
      <c r="B900" t="inlineStr">
        <is>
          <t>Salmonberry</t>
        </is>
      </c>
      <c r="C900" t="inlineStr">
        <is>
          <t>open</t>
        </is>
      </c>
      <c r="D900" t="n">
        <v>55.5</v>
      </c>
      <c r="E900">
        <f>ROUNDUP(D900, 0)</f>
        <v/>
      </c>
      <c r="F900">
        <f>IF(LOWER(C900)="covered", 10.40, 7.55)</f>
        <v/>
      </c>
      <c r="G900">
        <f>E900*F900</f>
        <v/>
      </c>
      <c r="H900" t="n">
        <v>0</v>
      </c>
      <c r="I900">
        <f>G900-H900</f>
        <v/>
      </c>
    </row>
    <row r="901">
      <c r="A901" t="inlineStr">
        <is>
          <t>SB-0104</t>
        </is>
      </c>
      <c r="B901" t="inlineStr">
        <is>
          <t>Salmonberry</t>
        </is>
      </c>
      <c r="C901" t="inlineStr">
        <is>
          <t>open</t>
        </is>
      </c>
      <c r="D901" t="n">
        <v>52.4</v>
      </c>
      <c r="E901">
        <f>ROUNDUP(D901, 0)</f>
        <v/>
      </c>
      <c r="F901">
        <f>IF(LOWER(C901)="covered", 10.40, 7.55)</f>
        <v/>
      </c>
      <c r="G901">
        <f>E901*F901</f>
        <v/>
      </c>
      <c r="H901" t="n">
        <v>0</v>
      </c>
      <c r="I901">
        <f>G901-H901</f>
        <v/>
      </c>
    </row>
    <row r="902">
      <c r="A902" t="inlineStr">
        <is>
          <t>SB-0106</t>
        </is>
      </c>
      <c r="B902" t="inlineStr">
        <is>
          <t>Salmonberry</t>
        </is>
      </c>
      <c r="C902" t="inlineStr">
        <is>
          <t>open</t>
        </is>
      </c>
      <c r="D902" t="n">
        <v>36.9</v>
      </c>
      <c r="E902">
        <f>ROUNDUP(D902, 0)</f>
        <v/>
      </c>
      <c r="F902">
        <f>IF(LOWER(C902)="covered", 10.40, 7.55)</f>
        <v/>
      </c>
      <c r="G902">
        <f>E902*F902</f>
        <v/>
      </c>
      <c r="H902" t="n">
        <v>0</v>
      </c>
      <c r="I902">
        <f>G902-H902</f>
        <v/>
      </c>
    </row>
    <row r="903">
      <c r="A903" t="inlineStr">
        <is>
          <t>SB-0107</t>
        </is>
      </c>
      <c r="B903" t="inlineStr">
        <is>
          <t>Salmonberry</t>
        </is>
      </c>
      <c r="C903" t="inlineStr">
        <is>
          <t>open</t>
        </is>
      </c>
      <c r="D903" t="n">
        <v>47.8</v>
      </c>
      <c r="E903">
        <f>ROUNDUP(D903, 0)</f>
        <v/>
      </c>
      <c r="F903">
        <f>IF(LOWER(C903)="covered", 10.40, 7.55)</f>
        <v/>
      </c>
      <c r="G903">
        <f>E903*F903</f>
        <v/>
      </c>
      <c r="H903" t="n">
        <v>0</v>
      </c>
      <c r="I903">
        <f>G903-H903</f>
        <v/>
      </c>
    </row>
    <row r="904">
      <c r="A904" t="inlineStr">
        <is>
          <t>SB-0108</t>
        </is>
      </c>
      <c r="B904" t="inlineStr">
        <is>
          <t>Salmonberry</t>
        </is>
      </c>
      <c r="C904" t="inlineStr">
        <is>
          <t>open</t>
        </is>
      </c>
      <c r="D904" t="n">
        <v>34</v>
      </c>
      <c r="E904">
        <f>ROUNDUP(D904, 0)</f>
        <v/>
      </c>
      <c r="F904">
        <f>IF(LOWER(C904)="covered", 10.40, 7.55)</f>
        <v/>
      </c>
      <c r="G904">
        <f>E904*F904</f>
        <v/>
      </c>
      <c r="H904" t="n">
        <v>0</v>
      </c>
      <c r="I904">
        <f>G904-H904</f>
        <v/>
      </c>
    </row>
    <row r="905">
      <c r="A905" t="inlineStr">
        <is>
          <t>SB-0109</t>
        </is>
      </c>
      <c r="B905" t="inlineStr">
        <is>
          <t>Salmonberry</t>
        </is>
      </c>
      <c r="C905" t="inlineStr">
        <is>
          <t>open</t>
        </is>
      </c>
      <c r="D905" t="n">
        <v>24.7</v>
      </c>
      <c r="E905">
        <f>ROUNDUP(D905, 0)</f>
        <v/>
      </c>
      <c r="F905">
        <f>IF(LOWER(C905)="covered", 10.40, 7.55)</f>
        <v/>
      </c>
      <c r="G905">
        <f>E905*F905</f>
        <v/>
      </c>
      <c r="H905" t="n">
        <v>0</v>
      </c>
      <c r="I905">
        <f>G905-H905</f>
        <v/>
      </c>
    </row>
    <row r="906">
      <c r="A906" t="inlineStr">
        <is>
          <t>SB-0110</t>
        </is>
      </c>
      <c r="B906" t="inlineStr">
        <is>
          <t>Salmonberry</t>
        </is>
      </c>
      <c r="C906" t="inlineStr">
        <is>
          <t>open</t>
        </is>
      </c>
      <c r="D906" t="n">
        <v>34.6</v>
      </c>
      <c r="E906">
        <f>ROUNDUP(D906, 0)</f>
        <v/>
      </c>
      <c r="F906">
        <f>IF(LOWER(C906)="covered", 10.40, 7.55)</f>
        <v/>
      </c>
      <c r="G906">
        <f>E906*F906</f>
        <v/>
      </c>
      <c r="H906" t="n">
        <v>0</v>
      </c>
      <c r="I906">
        <f>G906-H906</f>
        <v/>
      </c>
    </row>
    <row r="907">
      <c r="A907" t="inlineStr">
        <is>
          <t>SB-0111</t>
        </is>
      </c>
      <c r="B907" t="inlineStr">
        <is>
          <t>Salmonberry</t>
        </is>
      </c>
      <c r="C907" t="inlineStr">
        <is>
          <t>open</t>
        </is>
      </c>
      <c r="D907" t="n">
        <v>30.5</v>
      </c>
      <c r="E907">
        <f>ROUNDUP(D907, 0)</f>
        <v/>
      </c>
      <c r="F907">
        <f>IF(LOWER(C907)="covered", 10.40, 7.55)</f>
        <v/>
      </c>
      <c r="G907">
        <f>E907*F907</f>
        <v/>
      </c>
      <c r="H907" t="n">
        <v>0</v>
      </c>
      <c r="I907">
        <f>G907-H907</f>
        <v/>
      </c>
    </row>
    <row r="908">
      <c r="A908" t="inlineStr">
        <is>
          <t>SB-0112</t>
        </is>
      </c>
      <c r="B908" t="inlineStr">
        <is>
          <t>Salmonberry</t>
        </is>
      </c>
      <c r="C908" t="inlineStr">
        <is>
          <t>open</t>
        </is>
      </c>
      <c r="D908" t="n">
        <v>49.9</v>
      </c>
      <c r="E908">
        <f>ROUNDUP(D908, 0)</f>
        <v/>
      </c>
      <c r="F908">
        <f>IF(LOWER(C908)="covered", 10.40, 7.55)</f>
        <v/>
      </c>
      <c r="G908">
        <f>E908*F908</f>
        <v/>
      </c>
      <c r="H908" t="n">
        <v>0</v>
      </c>
      <c r="I908">
        <f>G908-H908</f>
        <v/>
      </c>
    </row>
    <row r="909">
      <c r="A909" t="inlineStr">
        <is>
          <t>SB-0113</t>
        </is>
      </c>
      <c r="B909" t="inlineStr">
        <is>
          <t>Salmonberry</t>
        </is>
      </c>
      <c r="C909" t="inlineStr">
        <is>
          <t>open</t>
        </is>
      </c>
      <c r="D909" t="n">
        <v>50.7</v>
      </c>
      <c r="E909">
        <f>ROUNDUP(D909, 0)</f>
        <v/>
      </c>
      <c r="F909">
        <f>IF(LOWER(C909)="covered", 10.40, 7.55)</f>
        <v/>
      </c>
      <c r="G909">
        <f>E909*F909</f>
        <v/>
      </c>
      <c r="H909" t="n">
        <v>0</v>
      </c>
      <c r="I909">
        <f>G909-H909</f>
        <v/>
      </c>
    </row>
    <row r="910">
      <c r="A910" t="inlineStr">
        <is>
          <t>SB-0114</t>
        </is>
      </c>
      <c r="B910" t="inlineStr">
        <is>
          <t>Salmonberry</t>
        </is>
      </c>
      <c r="C910" t="inlineStr">
        <is>
          <t>open</t>
        </is>
      </c>
      <c r="D910" t="n">
        <v>21</v>
      </c>
      <c r="E910">
        <f>ROUNDUP(D910, 0)</f>
        <v/>
      </c>
      <c r="F910">
        <f>IF(LOWER(C910)="covered", 10.40, 7.55)</f>
        <v/>
      </c>
      <c r="G910">
        <f>E910*F910</f>
        <v/>
      </c>
      <c r="H910" t="n">
        <v>0</v>
      </c>
      <c r="I910">
        <f>G910-H910</f>
        <v/>
      </c>
    </row>
    <row r="911">
      <c r="A911" t="inlineStr">
        <is>
          <t>SB-0115</t>
        </is>
      </c>
      <c r="B911" t="inlineStr">
        <is>
          <t>Salmonberry</t>
        </is>
      </c>
      <c r="C911" t="inlineStr">
        <is>
          <t>open</t>
        </is>
      </c>
      <c r="D911" t="n">
        <v>19.8</v>
      </c>
      <c r="E911">
        <f>ROUNDUP(D911, 0)</f>
        <v/>
      </c>
      <c r="F911">
        <f>IF(LOWER(C911)="covered", 10.40, 7.55)</f>
        <v/>
      </c>
      <c r="G911">
        <f>E911*F911</f>
        <v/>
      </c>
      <c r="H911" t="n">
        <v>0</v>
      </c>
      <c r="I911">
        <f>G911-H911</f>
        <v/>
      </c>
    </row>
    <row r="912">
      <c r="A912" t="inlineStr">
        <is>
          <t>SB-0116</t>
        </is>
      </c>
      <c r="B912" t="inlineStr">
        <is>
          <t>Salmonberry</t>
        </is>
      </c>
      <c r="C912" t="inlineStr">
        <is>
          <t>open</t>
        </is>
      </c>
      <c r="D912" t="n">
        <v>43.2</v>
      </c>
      <c r="E912">
        <f>ROUNDUP(D912, 0)</f>
        <v/>
      </c>
      <c r="F912">
        <f>IF(LOWER(C912)="covered", 10.40, 7.55)</f>
        <v/>
      </c>
      <c r="G912">
        <f>E912*F912</f>
        <v/>
      </c>
      <c r="H912" t="n">
        <v>0</v>
      </c>
      <c r="I912">
        <f>G912-H912</f>
        <v/>
      </c>
    </row>
    <row r="913">
      <c r="A913" t="inlineStr">
        <is>
          <t>SB-0117</t>
        </is>
      </c>
      <c r="B913" t="inlineStr">
        <is>
          <t>Salmonberry</t>
        </is>
      </c>
      <c r="C913" t="inlineStr">
        <is>
          <t>open</t>
        </is>
      </c>
      <c r="D913" t="n">
        <v>31.6</v>
      </c>
      <c r="E913">
        <f>ROUNDUP(D913, 0)</f>
        <v/>
      </c>
      <c r="F913">
        <f>IF(LOWER(C913)="covered", 10.40, 7.55)</f>
        <v/>
      </c>
      <c r="G913">
        <f>E913*F913</f>
        <v/>
      </c>
      <c r="H913" t="n">
        <v>0</v>
      </c>
      <c r="I913">
        <f>G913-H913</f>
        <v/>
      </c>
    </row>
    <row r="914">
      <c r="A914" t="inlineStr">
        <is>
          <t>SB-0118</t>
        </is>
      </c>
      <c r="B914" t="inlineStr">
        <is>
          <t>Salmonberry</t>
        </is>
      </c>
      <c r="C914" t="inlineStr">
        <is>
          <t>open</t>
        </is>
      </c>
      <c r="D914" t="n">
        <v>52.3</v>
      </c>
      <c r="E914">
        <f>ROUNDUP(D914, 0)</f>
        <v/>
      </c>
      <c r="F914">
        <f>IF(LOWER(C914)="covered", 10.40, 7.55)</f>
        <v/>
      </c>
      <c r="G914">
        <f>E914*F914</f>
        <v/>
      </c>
      <c r="H914" t="n">
        <v>0</v>
      </c>
      <c r="I914">
        <f>G914-H914</f>
        <v/>
      </c>
    </row>
    <row r="915">
      <c r="A915" t="inlineStr">
        <is>
          <t>SB-0119</t>
        </is>
      </c>
      <c r="B915" t="inlineStr">
        <is>
          <t>Salmonberry</t>
        </is>
      </c>
      <c r="C915" t="inlineStr">
        <is>
          <t>open</t>
        </is>
      </c>
      <c r="D915" t="n">
        <v>27.8</v>
      </c>
      <c r="E915">
        <f>ROUNDUP(D915, 0)</f>
        <v/>
      </c>
      <c r="F915">
        <f>IF(LOWER(C915)="covered", 10.40, 7.55)</f>
        <v/>
      </c>
      <c r="G915">
        <f>E915*F915</f>
        <v/>
      </c>
      <c r="H915" t="n">
        <v>0</v>
      </c>
      <c r="I915">
        <f>G915-H915</f>
        <v/>
      </c>
    </row>
    <row r="916">
      <c r="A916" t="inlineStr">
        <is>
          <t>SB-0120</t>
        </is>
      </c>
      <c r="B916" t="inlineStr">
        <is>
          <t>Salmonberry</t>
        </is>
      </c>
      <c r="C916" t="inlineStr">
        <is>
          <t>open</t>
        </is>
      </c>
      <c r="D916" t="n">
        <v>57.3</v>
      </c>
      <c r="E916">
        <f>ROUNDUP(D916, 0)</f>
        <v/>
      </c>
      <c r="F916">
        <f>IF(LOWER(C916)="covered", 10.40, 7.55)</f>
        <v/>
      </c>
      <c r="G916">
        <f>E916*F916</f>
        <v/>
      </c>
      <c r="H916" t="n">
        <v>0</v>
      </c>
      <c r="I916">
        <f>G916-H916</f>
        <v/>
      </c>
    </row>
    <row r="917">
      <c r="A917" t="inlineStr">
        <is>
          <t>SB-0121</t>
        </is>
      </c>
      <c r="B917" t="inlineStr">
        <is>
          <t>Salmonberry</t>
        </is>
      </c>
      <c r="C917" t="inlineStr">
        <is>
          <t>open</t>
        </is>
      </c>
      <c r="D917" t="n">
        <v>53.4</v>
      </c>
      <c r="E917">
        <f>ROUNDUP(D917, 0)</f>
        <v/>
      </c>
      <c r="F917">
        <f>IF(LOWER(C917)="covered", 10.40, 7.55)</f>
        <v/>
      </c>
      <c r="G917">
        <f>E917*F917</f>
        <v/>
      </c>
      <c r="H917" t="n">
        <v>0</v>
      </c>
      <c r="I917">
        <f>G917-H917</f>
        <v/>
      </c>
    </row>
    <row r="918">
      <c r="A918" t="inlineStr">
        <is>
          <t>SB-0122</t>
        </is>
      </c>
      <c r="B918" t="inlineStr">
        <is>
          <t>Salmonberry</t>
        </is>
      </c>
      <c r="C918" t="inlineStr">
        <is>
          <t>open</t>
        </is>
      </c>
      <c r="D918" t="n">
        <v>23.5</v>
      </c>
      <c r="E918">
        <f>ROUNDUP(D918, 0)</f>
        <v/>
      </c>
      <c r="F918">
        <f>IF(LOWER(C918)="covered", 10.40, 7.55)</f>
        <v/>
      </c>
      <c r="G918">
        <f>E918*F918</f>
        <v/>
      </c>
      <c r="H918" t="n">
        <v>0</v>
      </c>
      <c r="I918">
        <f>G918-H918</f>
        <v/>
      </c>
    </row>
    <row r="919">
      <c r="A919" t="inlineStr">
        <is>
          <t>SB-0201</t>
        </is>
      </c>
      <c r="B919" t="inlineStr">
        <is>
          <t>Salmonberry</t>
        </is>
      </c>
      <c r="C919" t="inlineStr">
        <is>
          <t>open</t>
        </is>
      </c>
      <c r="D919" t="n">
        <v>39.8</v>
      </c>
      <c r="E919">
        <f>ROUNDUP(D919, 0)</f>
        <v/>
      </c>
      <c r="F919">
        <f>IF(LOWER(C919)="covered", 10.40, 7.55)</f>
        <v/>
      </c>
      <c r="G919">
        <f>E919*F919</f>
        <v/>
      </c>
      <c r="H919" t="n">
        <v>0</v>
      </c>
      <c r="I919">
        <f>G919-H919</f>
        <v/>
      </c>
    </row>
    <row r="920">
      <c r="A920" t="inlineStr">
        <is>
          <t>SB-0202</t>
        </is>
      </c>
      <c r="B920" t="inlineStr">
        <is>
          <t>Salmonberry</t>
        </is>
      </c>
      <c r="C920" t="inlineStr">
        <is>
          <t>open</t>
        </is>
      </c>
      <c r="D920" t="n">
        <v>57.9</v>
      </c>
      <c r="E920">
        <f>ROUNDUP(D920, 0)</f>
        <v/>
      </c>
      <c r="F920">
        <f>IF(LOWER(C920)="covered", 10.40, 7.55)</f>
        <v/>
      </c>
      <c r="G920">
        <f>E920*F920</f>
        <v/>
      </c>
      <c r="H920" t="n">
        <v>0</v>
      </c>
      <c r="I920">
        <f>G920-H920</f>
        <v/>
      </c>
    </row>
    <row r="921">
      <c r="A921" t="inlineStr">
        <is>
          <t>SB-0204</t>
        </is>
      </c>
      <c r="B921" t="inlineStr">
        <is>
          <t>Salmonberry</t>
        </is>
      </c>
      <c r="C921" t="inlineStr">
        <is>
          <t>open</t>
        </is>
      </c>
      <c r="D921" t="n">
        <v>24.6</v>
      </c>
      <c r="E921">
        <f>ROUNDUP(D921, 0)</f>
        <v/>
      </c>
      <c r="F921">
        <f>IF(LOWER(C921)="covered", 10.40, 7.55)</f>
        <v/>
      </c>
      <c r="G921">
        <f>E921*F921</f>
        <v/>
      </c>
      <c r="H921" t="n">
        <v>0</v>
      </c>
      <c r="I921">
        <f>G921-H921</f>
        <v/>
      </c>
    </row>
    <row r="922">
      <c r="A922" t="inlineStr">
        <is>
          <t>SB-0205</t>
        </is>
      </c>
      <c r="B922" t="inlineStr">
        <is>
          <t>Salmonberry</t>
        </is>
      </c>
      <c r="C922" t="inlineStr">
        <is>
          <t>open</t>
        </is>
      </c>
      <c r="D922" t="n">
        <v>48.4</v>
      </c>
      <c r="E922">
        <f>ROUNDUP(D922, 0)</f>
        <v/>
      </c>
      <c r="F922">
        <f>IF(LOWER(C922)="covered", 10.40, 7.55)</f>
        <v/>
      </c>
      <c r="G922">
        <f>E922*F922</f>
        <v/>
      </c>
      <c r="H922" t="n">
        <v>0</v>
      </c>
      <c r="I922">
        <f>G922-H922</f>
        <v/>
      </c>
    </row>
    <row r="923">
      <c r="A923" t="inlineStr">
        <is>
          <t>SB-0206</t>
        </is>
      </c>
      <c r="B923" t="inlineStr">
        <is>
          <t>Salmonberry</t>
        </is>
      </c>
      <c r="C923" t="inlineStr">
        <is>
          <t>open</t>
        </is>
      </c>
      <c r="D923" t="n">
        <v>27.3</v>
      </c>
      <c r="E923">
        <f>ROUNDUP(D923, 0)</f>
        <v/>
      </c>
      <c r="F923">
        <f>IF(LOWER(C923)="covered", 10.40, 7.55)</f>
        <v/>
      </c>
      <c r="G923">
        <f>E923*F923</f>
        <v/>
      </c>
      <c r="H923" t="n">
        <v>0</v>
      </c>
      <c r="I923">
        <f>G923-H923</f>
        <v/>
      </c>
    </row>
    <row r="924">
      <c r="A924" t="inlineStr">
        <is>
          <t>SB-0207</t>
        </is>
      </c>
      <c r="B924" t="inlineStr">
        <is>
          <t>Salmonberry</t>
        </is>
      </c>
      <c r="C924" t="inlineStr">
        <is>
          <t>open</t>
        </is>
      </c>
      <c r="D924" t="n">
        <v>46</v>
      </c>
      <c r="E924">
        <f>ROUNDUP(D924, 0)</f>
        <v/>
      </c>
      <c r="F924">
        <f>IF(LOWER(C924)="covered", 10.40, 7.55)</f>
        <v/>
      </c>
      <c r="G924">
        <f>E924*F924</f>
        <v/>
      </c>
      <c r="H924" t="n">
        <v>0</v>
      </c>
      <c r="I924">
        <f>G924-H924</f>
        <v/>
      </c>
    </row>
    <row r="925">
      <c r="A925" t="inlineStr">
        <is>
          <t>SB-0208</t>
        </is>
      </c>
      <c r="B925" t="inlineStr">
        <is>
          <t>Salmonberry</t>
        </is>
      </c>
      <c r="C925" t="inlineStr">
        <is>
          <t>open</t>
        </is>
      </c>
      <c r="D925" t="n">
        <v>27.6</v>
      </c>
      <c r="E925">
        <f>ROUNDUP(D925, 0)</f>
        <v/>
      </c>
      <c r="F925">
        <f>IF(LOWER(C925)="covered", 10.40, 7.55)</f>
        <v/>
      </c>
      <c r="G925">
        <f>E925*F925</f>
        <v/>
      </c>
      <c r="H925" t="n">
        <v>0</v>
      </c>
      <c r="I925">
        <f>G925-H925</f>
        <v/>
      </c>
    </row>
    <row r="926">
      <c r="A926" t="inlineStr">
        <is>
          <t>SB-0209</t>
        </is>
      </c>
      <c r="B926" t="inlineStr">
        <is>
          <t>Salmonberry</t>
        </is>
      </c>
      <c r="C926" t="inlineStr">
        <is>
          <t>open</t>
        </is>
      </c>
      <c r="D926" t="n">
        <v>46.5</v>
      </c>
      <c r="E926">
        <f>ROUNDUP(D926, 0)</f>
        <v/>
      </c>
      <c r="F926">
        <f>IF(LOWER(C926)="covered", 10.40, 7.55)</f>
        <v/>
      </c>
      <c r="G926">
        <f>E926*F926</f>
        <v/>
      </c>
      <c r="H926" t="n">
        <v>0</v>
      </c>
      <c r="I926">
        <f>G926-H926</f>
        <v/>
      </c>
    </row>
    <row r="927">
      <c r="A927" t="inlineStr">
        <is>
          <t>SB-0210</t>
        </is>
      </c>
      <c r="B927" t="inlineStr">
        <is>
          <t>Salmonberry</t>
        </is>
      </c>
      <c r="C927" t="inlineStr">
        <is>
          <t>open</t>
        </is>
      </c>
      <c r="D927" t="n">
        <v>39.1</v>
      </c>
      <c r="E927">
        <f>ROUNDUP(D927, 0)</f>
        <v/>
      </c>
      <c r="F927">
        <f>IF(LOWER(C927)="covered", 10.40, 7.55)</f>
        <v/>
      </c>
      <c r="G927">
        <f>E927*F927</f>
        <v/>
      </c>
      <c r="H927" t="n">
        <v>0</v>
      </c>
      <c r="I927">
        <f>G927-H927</f>
        <v/>
      </c>
    </row>
    <row r="928">
      <c r="A928" t="inlineStr">
        <is>
          <t>SB-0211</t>
        </is>
      </c>
      <c r="B928" t="inlineStr">
        <is>
          <t>Salmonberry</t>
        </is>
      </c>
      <c r="C928" t="inlineStr">
        <is>
          <t>open</t>
        </is>
      </c>
      <c r="D928" t="n">
        <v>60.3</v>
      </c>
      <c r="E928">
        <f>ROUNDUP(D928, 0)</f>
        <v/>
      </c>
      <c r="F928">
        <f>IF(LOWER(C928)="covered", 10.40, 7.55)</f>
        <v/>
      </c>
      <c r="G928">
        <f>E928*F928</f>
        <v/>
      </c>
      <c r="H928" t="n">
        <v>0</v>
      </c>
      <c r="I928">
        <f>G928-H928</f>
        <v/>
      </c>
    </row>
    <row r="929">
      <c r="A929" t="inlineStr">
        <is>
          <t>SB-0212</t>
        </is>
      </c>
      <c r="B929" t="inlineStr">
        <is>
          <t>Salmonberry</t>
        </is>
      </c>
      <c r="C929" t="inlineStr">
        <is>
          <t>open</t>
        </is>
      </c>
      <c r="D929" t="n">
        <v>58.9</v>
      </c>
      <c r="E929">
        <f>ROUNDUP(D929, 0)</f>
        <v/>
      </c>
      <c r="F929">
        <f>IF(LOWER(C929)="covered", 10.40, 7.55)</f>
        <v/>
      </c>
      <c r="G929">
        <f>E929*F929</f>
        <v/>
      </c>
      <c r="H929" t="n">
        <v>0</v>
      </c>
      <c r="I929">
        <f>G929-H929</f>
        <v/>
      </c>
    </row>
    <row r="930">
      <c r="A930" t="inlineStr">
        <is>
          <t>SB-0213</t>
        </is>
      </c>
      <c r="B930" t="inlineStr">
        <is>
          <t>Salmonberry</t>
        </is>
      </c>
      <c r="C930" t="inlineStr">
        <is>
          <t>open</t>
        </is>
      </c>
      <c r="D930" t="n">
        <v>22.7</v>
      </c>
      <c r="E930">
        <f>ROUNDUP(D930, 0)</f>
        <v/>
      </c>
      <c r="F930">
        <f>IF(LOWER(C930)="covered", 10.40, 7.55)</f>
        <v/>
      </c>
      <c r="G930">
        <f>E930*F930</f>
        <v/>
      </c>
      <c r="H930" t="n">
        <v>0</v>
      </c>
      <c r="I930">
        <f>G930-H930</f>
        <v/>
      </c>
    </row>
    <row r="931">
      <c r="A931" t="inlineStr">
        <is>
          <t>SB-0214</t>
        </is>
      </c>
      <c r="B931" t="inlineStr">
        <is>
          <t>Salmonberry</t>
        </is>
      </c>
      <c r="C931" t="inlineStr">
        <is>
          <t>open</t>
        </is>
      </c>
      <c r="D931" t="n">
        <v>58.1</v>
      </c>
      <c r="E931">
        <f>ROUNDUP(D931, 0)</f>
        <v/>
      </c>
      <c r="F931">
        <f>IF(LOWER(C931)="covered", 10.40, 7.55)</f>
        <v/>
      </c>
      <c r="G931">
        <f>E931*F931</f>
        <v/>
      </c>
      <c r="H931" t="n">
        <v>0</v>
      </c>
      <c r="I931">
        <f>G931-H931</f>
        <v/>
      </c>
    </row>
    <row r="932">
      <c r="A932" t="inlineStr">
        <is>
          <t>SB-0215</t>
        </is>
      </c>
      <c r="B932" t="inlineStr">
        <is>
          <t>Salmonberry</t>
        </is>
      </c>
      <c r="C932" t="inlineStr">
        <is>
          <t>open</t>
        </is>
      </c>
      <c r="D932" t="n">
        <v>47.1</v>
      </c>
      <c r="E932">
        <f>ROUNDUP(D932, 0)</f>
        <v/>
      </c>
      <c r="F932">
        <f>IF(LOWER(C932)="covered", 10.40, 7.55)</f>
        <v/>
      </c>
      <c r="G932">
        <f>E932*F932</f>
        <v/>
      </c>
      <c r="H932" t="n">
        <v>0</v>
      </c>
      <c r="I932">
        <f>G932-H932</f>
        <v/>
      </c>
    </row>
    <row r="933">
      <c r="A933" t="inlineStr">
        <is>
          <t>SB-0216</t>
        </is>
      </c>
      <c r="B933" t="inlineStr">
        <is>
          <t>Salmonberry</t>
        </is>
      </c>
      <c r="C933" t="inlineStr">
        <is>
          <t>open</t>
        </is>
      </c>
      <c r="D933" t="n">
        <v>37.5</v>
      </c>
      <c r="E933">
        <f>ROUNDUP(D933, 0)</f>
        <v/>
      </c>
      <c r="F933">
        <f>IF(LOWER(C933)="covered", 10.40, 7.55)</f>
        <v/>
      </c>
      <c r="G933">
        <f>E933*F933</f>
        <v/>
      </c>
      <c r="H933" t="n">
        <v>0</v>
      </c>
      <c r="I933">
        <f>G933-H933</f>
        <v/>
      </c>
    </row>
    <row r="934">
      <c r="A934" t="inlineStr">
        <is>
          <t>SB-0217</t>
        </is>
      </c>
      <c r="B934" t="inlineStr">
        <is>
          <t>Salmonberry</t>
        </is>
      </c>
      <c r="C934" t="inlineStr">
        <is>
          <t>open</t>
        </is>
      </c>
      <c r="D934" t="n">
        <v>44.2</v>
      </c>
      <c r="E934">
        <f>ROUNDUP(D934, 0)</f>
        <v/>
      </c>
      <c r="F934">
        <f>IF(LOWER(C934)="covered", 10.40, 7.55)</f>
        <v/>
      </c>
      <c r="G934">
        <f>E934*F934</f>
        <v/>
      </c>
      <c r="H934" t="n">
        <v>0</v>
      </c>
      <c r="I934">
        <f>G934-H934</f>
        <v/>
      </c>
    </row>
    <row r="935">
      <c r="A935" t="inlineStr">
        <is>
          <t>SB-0218</t>
        </is>
      </c>
      <c r="B935" t="inlineStr">
        <is>
          <t>Salmonberry</t>
        </is>
      </c>
      <c r="C935" t="inlineStr">
        <is>
          <t>open</t>
        </is>
      </c>
      <c r="D935" t="n">
        <v>48.8</v>
      </c>
      <c r="E935">
        <f>ROUNDUP(D935, 0)</f>
        <v/>
      </c>
      <c r="F935">
        <f>IF(LOWER(C935)="covered", 10.40, 7.55)</f>
        <v/>
      </c>
      <c r="G935">
        <f>E935*F935</f>
        <v/>
      </c>
      <c r="H935" t="n">
        <v>0</v>
      </c>
      <c r="I935">
        <f>G935-H935</f>
        <v/>
      </c>
    </row>
    <row r="936">
      <c r="A936" t="inlineStr">
        <is>
          <t>SB-0219</t>
        </is>
      </c>
      <c r="B936" t="inlineStr">
        <is>
          <t>Salmonberry</t>
        </is>
      </c>
      <c r="C936" t="inlineStr">
        <is>
          <t>open</t>
        </is>
      </c>
      <c r="D936" t="n">
        <v>51.5</v>
      </c>
      <c r="E936">
        <f>ROUNDUP(D936, 0)</f>
        <v/>
      </c>
      <c r="F936">
        <f>IF(LOWER(C936)="covered", 10.40, 7.55)</f>
        <v/>
      </c>
      <c r="G936">
        <f>E936*F936</f>
        <v/>
      </c>
      <c r="H936" t="n">
        <v>0</v>
      </c>
      <c r="I936">
        <f>G936-H936</f>
        <v/>
      </c>
    </row>
    <row r="937">
      <c r="A937" t="inlineStr">
        <is>
          <t>SB-0220</t>
        </is>
      </c>
      <c r="B937" t="inlineStr">
        <is>
          <t>Salmonberry</t>
        </is>
      </c>
      <c r="C937" t="inlineStr">
        <is>
          <t>open</t>
        </is>
      </c>
      <c r="D937" t="n">
        <v>26.4</v>
      </c>
      <c r="E937">
        <f>ROUNDUP(D937, 0)</f>
        <v/>
      </c>
      <c r="F937">
        <f>IF(LOWER(C937)="covered", 10.40, 7.55)</f>
        <v/>
      </c>
      <c r="G937">
        <f>E937*F937</f>
        <v/>
      </c>
      <c r="H937" t="n">
        <v>0</v>
      </c>
      <c r="I937">
        <f>G937-H937</f>
        <v/>
      </c>
    </row>
    <row r="938">
      <c r="A938" t="inlineStr">
        <is>
          <t>SB-0222</t>
        </is>
      </c>
      <c r="B938" t="inlineStr">
        <is>
          <t>Salmonberry</t>
        </is>
      </c>
      <c r="C938" t="inlineStr">
        <is>
          <t>open</t>
        </is>
      </c>
      <c r="D938" t="n">
        <v>23.2</v>
      </c>
      <c r="E938">
        <f>ROUNDUP(D938, 0)</f>
        <v/>
      </c>
      <c r="F938">
        <f>IF(LOWER(C938)="covered", 10.40, 7.55)</f>
        <v/>
      </c>
      <c r="G938">
        <f>E938*F938</f>
        <v/>
      </c>
      <c r="H938" t="n">
        <v>0</v>
      </c>
      <c r="I938">
        <f>G938-H938</f>
        <v/>
      </c>
    </row>
    <row r="939">
      <c r="A939" t="inlineStr">
        <is>
          <t>SB-0223</t>
        </is>
      </c>
      <c r="B939" t="inlineStr">
        <is>
          <t>Salmonberry</t>
        </is>
      </c>
      <c r="C939" t="inlineStr">
        <is>
          <t>open</t>
        </is>
      </c>
      <c r="D939" t="n">
        <v>48.6</v>
      </c>
      <c r="E939">
        <f>ROUNDUP(D939, 0)</f>
        <v/>
      </c>
      <c r="F939">
        <f>IF(LOWER(C939)="covered", 10.40, 7.55)</f>
        <v/>
      </c>
      <c r="G939">
        <f>E939*F939</f>
        <v/>
      </c>
      <c r="H939" t="n">
        <v>0</v>
      </c>
      <c r="I939">
        <f>G939-H939</f>
        <v/>
      </c>
    </row>
    <row r="940">
      <c r="A940" t="inlineStr">
        <is>
          <t>SB-0224</t>
        </is>
      </c>
      <c r="B940" t="inlineStr">
        <is>
          <t>Salmonberry</t>
        </is>
      </c>
      <c r="C940" t="inlineStr">
        <is>
          <t>open</t>
        </is>
      </c>
      <c r="D940" t="n">
        <v>30.9</v>
      </c>
      <c r="E940">
        <f>ROUNDUP(D940, 0)</f>
        <v/>
      </c>
      <c r="F940">
        <f>IF(LOWER(C940)="covered", 10.40, 7.55)</f>
        <v/>
      </c>
      <c r="G940">
        <f>E940*F940</f>
        <v/>
      </c>
      <c r="H940" t="n">
        <v>0</v>
      </c>
      <c r="I940">
        <f>G940-H940</f>
        <v/>
      </c>
    </row>
    <row r="941">
      <c r="A941" t="inlineStr">
        <is>
          <t>SB-0301</t>
        </is>
      </c>
      <c r="B941" t="inlineStr">
        <is>
          <t>Salmonberry</t>
        </is>
      </c>
      <c r="C941" t="inlineStr">
        <is>
          <t>open</t>
        </is>
      </c>
      <c r="D941" t="n">
        <v>57.4</v>
      </c>
      <c r="E941">
        <f>ROUNDUP(D941, 0)</f>
        <v/>
      </c>
      <c r="F941">
        <f>IF(LOWER(C941)="covered", 10.40, 7.55)</f>
        <v/>
      </c>
      <c r="G941">
        <f>E941*F941</f>
        <v/>
      </c>
      <c r="H941" t="n">
        <v>0</v>
      </c>
      <c r="I941">
        <f>G941-H941</f>
        <v/>
      </c>
    </row>
    <row r="942">
      <c r="A942" t="inlineStr">
        <is>
          <t>SB-0302</t>
        </is>
      </c>
      <c r="B942" t="inlineStr">
        <is>
          <t>Salmonberry</t>
        </is>
      </c>
      <c r="C942" t="inlineStr">
        <is>
          <t>open</t>
        </is>
      </c>
      <c r="D942" t="n">
        <v>20.7</v>
      </c>
      <c r="E942">
        <f>ROUNDUP(D942, 0)</f>
        <v/>
      </c>
      <c r="F942">
        <f>IF(LOWER(C942)="covered", 10.40, 7.55)</f>
        <v/>
      </c>
      <c r="G942">
        <f>E942*F942</f>
        <v/>
      </c>
      <c r="H942" t="n">
        <v>0</v>
      </c>
      <c r="I942">
        <f>G942-H942</f>
        <v/>
      </c>
    </row>
    <row r="943">
      <c r="A943" t="inlineStr">
        <is>
          <t>SB-0303</t>
        </is>
      </c>
      <c r="B943" t="inlineStr">
        <is>
          <t>Salmonberry</t>
        </is>
      </c>
      <c r="C943" t="inlineStr">
        <is>
          <t>open</t>
        </is>
      </c>
      <c r="D943" t="n">
        <v>30</v>
      </c>
      <c r="E943">
        <f>ROUNDUP(D943, 0)</f>
        <v/>
      </c>
      <c r="F943">
        <f>IF(LOWER(C943)="covered", 10.40, 7.55)</f>
        <v/>
      </c>
      <c r="G943">
        <f>E943*F943</f>
        <v/>
      </c>
      <c r="H943" t="n">
        <v>0</v>
      </c>
      <c r="I943">
        <f>G943-H943</f>
        <v/>
      </c>
    </row>
    <row r="944">
      <c r="A944" t="inlineStr">
        <is>
          <t>SB-0304</t>
        </is>
      </c>
      <c r="B944" t="inlineStr">
        <is>
          <t>Salmonberry</t>
        </is>
      </c>
      <c r="C944" t="inlineStr">
        <is>
          <t>open</t>
        </is>
      </c>
      <c r="D944" t="n">
        <v>58.1</v>
      </c>
      <c r="E944">
        <f>ROUNDUP(D944, 0)</f>
        <v/>
      </c>
      <c r="F944">
        <f>IF(LOWER(C944)="covered", 10.40, 7.55)</f>
        <v/>
      </c>
      <c r="G944">
        <f>E944*F944</f>
        <v/>
      </c>
      <c r="H944" t="n">
        <v>0</v>
      </c>
      <c r="I944">
        <f>G944-H944</f>
        <v/>
      </c>
    </row>
    <row r="945">
      <c r="A945" t="inlineStr">
        <is>
          <t>SB-0305</t>
        </is>
      </c>
      <c r="B945" t="inlineStr">
        <is>
          <t>Salmonberry</t>
        </is>
      </c>
      <c r="C945" t="inlineStr">
        <is>
          <t>open</t>
        </is>
      </c>
      <c r="D945" t="n">
        <v>58.3</v>
      </c>
      <c r="E945">
        <f>ROUNDUP(D945, 0)</f>
        <v/>
      </c>
      <c r="F945">
        <f>IF(LOWER(C945)="covered", 10.40, 7.55)</f>
        <v/>
      </c>
      <c r="G945">
        <f>E945*F945</f>
        <v/>
      </c>
      <c r="H945" t="n">
        <v>0</v>
      </c>
      <c r="I945">
        <f>G945-H945</f>
        <v/>
      </c>
    </row>
    <row r="946">
      <c r="A946" t="inlineStr">
        <is>
          <t>SB-0306</t>
        </is>
      </c>
      <c r="B946" t="inlineStr">
        <is>
          <t>Salmonberry</t>
        </is>
      </c>
      <c r="C946" t="inlineStr">
        <is>
          <t>open</t>
        </is>
      </c>
      <c r="D946" t="n">
        <v>35.4</v>
      </c>
      <c r="E946">
        <f>ROUNDUP(D946, 0)</f>
        <v/>
      </c>
      <c r="F946">
        <f>IF(LOWER(C946)="covered", 10.40, 7.55)</f>
        <v/>
      </c>
      <c r="G946">
        <f>E946*F946</f>
        <v/>
      </c>
      <c r="H946" t="n">
        <v>0</v>
      </c>
      <c r="I946">
        <f>G946-H946</f>
        <v/>
      </c>
    </row>
    <row r="947">
      <c r="A947" t="inlineStr">
        <is>
          <t>SB-0307</t>
        </is>
      </c>
      <c r="B947" t="inlineStr">
        <is>
          <t>Salmonberry</t>
        </is>
      </c>
      <c r="C947" t="inlineStr">
        <is>
          <t>open</t>
        </is>
      </c>
      <c r="D947" t="n">
        <v>60.3</v>
      </c>
      <c r="E947">
        <f>ROUNDUP(D947, 0)</f>
        <v/>
      </c>
      <c r="F947">
        <f>IF(LOWER(C947)="covered", 10.40, 7.55)</f>
        <v/>
      </c>
      <c r="G947">
        <f>E947*F947</f>
        <v/>
      </c>
      <c r="H947" t="n">
        <v>0</v>
      </c>
      <c r="I947">
        <f>G947-H947</f>
        <v/>
      </c>
    </row>
    <row r="948">
      <c r="A948" t="inlineStr">
        <is>
          <t>SB-0308</t>
        </is>
      </c>
      <c r="B948" t="inlineStr">
        <is>
          <t>Salmonberry</t>
        </is>
      </c>
      <c r="C948" t="inlineStr">
        <is>
          <t>open</t>
        </is>
      </c>
      <c r="D948" t="n">
        <v>20.9</v>
      </c>
      <c r="E948">
        <f>ROUNDUP(D948, 0)</f>
        <v/>
      </c>
      <c r="F948">
        <f>IF(LOWER(C948)="covered", 10.40, 7.55)</f>
        <v/>
      </c>
      <c r="G948">
        <f>E948*F948</f>
        <v/>
      </c>
      <c r="H948" t="n">
        <v>0</v>
      </c>
      <c r="I948">
        <f>G948-H948</f>
        <v/>
      </c>
    </row>
    <row r="949">
      <c r="A949" t="inlineStr">
        <is>
          <t>SB-0309</t>
        </is>
      </c>
      <c r="B949" t="inlineStr">
        <is>
          <t>Salmonberry</t>
        </is>
      </c>
      <c r="C949" t="inlineStr">
        <is>
          <t>open</t>
        </is>
      </c>
      <c r="D949" t="n">
        <v>26.6</v>
      </c>
      <c r="E949">
        <f>ROUNDUP(D949, 0)</f>
        <v/>
      </c>
      <c r="F949">
        <f>IF(LOWER(C949)="covered", 10.40, 7.55)</f>
        <v/>
      </c>
      <c r="G949">
        <f>E949*F949</f>
        <v/>
      </c>
      <c r="H949" t="n">
        <v>0</v>
      </c>
      <c r="I949">
        <f>G949-H949</f>
        <v/>
      </c>
    </row>
    <row r="950">
      <c r="A950" t="inlineStr">
        <is>
          <t>SB-0311</t>
        </is>
      </c>
      <c r="B950" t="inlineStr">
        <is>
          <t>Salmonberry</t>
        </is>
      </c>
      <c r="C950" t="inlineStr">
        <is>
          <t>open</t>
        </is>
      </c>
      <c r="D950" t="n">
        <v>43.8</v>
      </c>
      <c r="E950">
        <f>ROUNDUP(D950, 0)</f>
        <v/>
      </c>
      <c r="F950">
        <f>IF(LOWER(C950)="covered", 10.40, 7.55)</f>
        <v/>
      </c>
      <c r="G950">
        <f>E950*F950</f>
        <v/>
      </c>
      <c r="H950" t="n">
        <v>0</v>
      </c>
      <c r="I950">
        <f>G950-H950</f>
        <v/>
      </c>
    </row>
    <row r="951">
      <c r="A951" t="inlineStr">
        <is>
          <t>SB-0312</t>
        </is>
      </c>
      <c r="B951" t="inlineStr">
        <is>
          <t>Salmonberry</t>
        </is>
      </c>
      <c r="C951" t="inlineStr">
        <is>
          <t>open</t>
        </is>
      </c>
      <c r="D951" t="n">
        <v>37.7</v>
      </c>
      <c r="E951">
        <f>ROUNDUP(D951, 0)</f>
        <v/>
      </c>
      <c r="F951">
        <f>IF(LOWER(C951)="covered", 10.40, 7.55)</f>
        <v/>
      </c>
      <c r="G951">
        <f>E951*F951</f>
        <v/>
      </c>
      <c r="H951" t="n">
        <v>0</v>
      </c>
      <c r="I951">
        <f>G951-H951</f>
        <v/>
      </c>
    </row>
    <row r="952">
      <c r="A952" t="inlineStr">
        <is>
          <t>SB-0313</t>
        </is>
      </c>
      <c r="B952" t="inlineStr">
        <is>
          <t>Salmonberry</t>
        </is>
      </c>
      <c r="C952" t="inlineStr">
        <is>
          <t>open</t>
        </is>
      </c>
      <c r="D952" t="n">
        <v>52.1</v>
      </c>
      <c r="E952">
        <f>ROUNDUP(D952, 0)</f>
        <v/>
      </c>
      <c r="F952">
        <f>IF(LOWER(C952)="covered", 10.40, 7.55)</f>
        <v/>
      </c>
      <c r="G952">
        <f>E952*F952</f>
        <v/>
      </c>
      <c r="H952" t="n">
        <v>0</v>
      </c>
      <c r="I952">
        <f>G952-H952</f>
        <v/>
      </c>
    </row>
    <row r="953">
      <c r="A953" t="inlineStr">
        <is>
          <t>SB-0314</t>
        </is>
      </c>
      <c r="B953" t="inlineStr">
        <is>
          <t>Salmonberry</t>
        </is>
      </c>
      <c r="C953" t="inlineStr">
        <is>
          <t>open</t>
        </is>
      </c>
      <c r="D953" t="n">
        <v>59.9</v>
      </c>
      <c r="E953">
        <f>ROUNDUP(D953, 0)</f>
        <v/>
      </c>
      <c r="F953">
        <f>IF(LOWER(C953)="covered", 10.40, 7.55)</f>
        <v/>
      </c>
      <c r="G953">
        <f>E953*F953</f>
        <v/>
      </c>
      <c r="H953" t="n">
        <v>0</v>
      </c>
      <c r="I953">
        <f>G953-H953</f>
        <v/>
      </c>
    </row>
    <row r="954">
      <c r="A954" t="inlineStr">
        <is>
          <t>SB-0315</t>
        </is>
      </c>
      <c r="B954" t="inlineStr">
        <is>
          <t>Salmonberry</t>
        </is>
      </c>
      <c r="C954" t="inlineStr">
        <is>
          <t>open</t>
        </is>
      </c>
      <c r="D954" t="n">
        <v>55.5</v>
      </c>
      <c r="E954">
        <f>ROUNDUP(D954, 0)</f>
        <v/>
      </c>
      <c r="F954">
        <f>IF(LOWER(C954)="covered", 10.40, 7.55)</f>
        <v/>
      </c>
      <c r="G954">
        <f>E954*F954</f>
        <v/>
      </c>
      <c r="H954" t="n">
        <v>0</v>
      </c>
      <c r="I954">
        <f>G954-H954</f>
        <v/>
      </c>
    </row>
    <row r="955">
      <c r="A955" t="inlineStr">
        <is>
          <t>SB-0316</t>
        </is>
      </c>
      <c r="B955" t="inlineStr">
        <is>
          <t>Salmonberry</t>
        </is>
      </c>
      <c r="C955" t="inlineStr">
        <is>
          <t>open</t>
        </is>
      </c>
      <c r="D955" t="n">
        <v>32.9</v>
      </c>
      <c r="E955">
        <f>ROUNDUP(D955, 0)</f>
        <v/>
      </c>
      <c r="F955">
        <f>IF(LOWER(C955)="covered", 10.40, 7.55)</f>
        <v/>
      </c>
      <c r="G955">
        <f>E955*F955</f>
        <v/>
      </c>
      <c r="H955" t="n">
        <v>0</v>
      </c>
      <c r="I955">
        <f>G955-H955</f>
        <v/>
      </c>
    </row>
    <row r="956">
      <c r="A956" t="inlineStr">
        <is>
          <t>SB-0317</t>
        </is>
      </c>
      <c r="B956" t="inlineStr">
        <is>
          <t>Salmonberry</t>
        </is>
      </c>
      <c r="C956" t="inlineStr">
        <is>
          <t>open</t>
        </is>
      </c>
      <c r="D956" t="n">
        <v>45.8</v>
      </c>
      <c r="E956">
        <f>ROUNDUP(D956, 0)</f>
        <v/>
      </c>
      <c r="F956">
        <f>IF(LOWER(C956)="covered", 10.40, 7.55)</f>
        <v/>
      </c>
      <c r="G956">
        <f>E956*F956</f>
        <v/>
      </c>
      <c r="H956" t="n">
        <v>0</v>
      </c>
      <c r="I956">
        <f>G956-H956</f>
        <v/>
      </c>
    </row>
    <row r="957">
      <c r="A957" t="inlineStr">
        <is>
          <t>SB-0318</t>
        </is>
      </c>
      <c r="B957" t="inlineStr">
        <is>
          <t>Salmonberry</t>
        </is>
      </c>
      <c r="C957" t="inlineStr">
        <is>
          <t>open</t>
        </is>
      </c>
      <c r="D957" t="n">
        <v>27.1</v>
      </c>
      <c r="E957">
        <f>ROUNDUP(D957, 0)</f>
        <v/>
      </c>
      <c r="F957">
        <f>IF(LOWER(C957)="covered", 10.40, 7.55)</f>
        <v/>
      </c>
      <c r="G957">
        <f>E957*F957</f>
        <v/>
      </c>
      <c r="H957" t="n">
        <v>0</v>
      </c>
      <c r="I957">
        <f>G957-H957</f>
        <v/>
      </c>
    </row>
    <row r="958">
      <c r="A958" t="inlineStr">
        <is>
          <t>SB-0319</t>
        </is>
      </c>
      <c r="B958" t="inlineStr">
        <is>
          <t>Salmonberry</t>
        </is>
      </c>
      <c r="C958" t="inlineStr">
        <is>
          <t>open</t>
        </is>
      </c>
      <c r="D958" t="n">
        <v>53.4</v>
      </c>
      <c r="E958">
        <f>ROUNDUP(D958, 0)</f>
        <v/>
      </c>
      <c r="F958">
        <f>IF(LOWER(C958)="covered", 10.40, 7.55)</f>
        <v/>
      </c>
      <c r="G958">
        <f>E958*F958</f>
        <v/>
      </c>
      <c r="H958" t="n">
        <v>0</v>
      </c>
      <c r="I958">
        <f>G958-H958</f>
        <v/>
      </c>
    </row>
    <row r="959">
      <c r="A959" t="inlineStr">
        <is>
          <t>SB-0320</t>
        </is>
      </c>
      <c r="B959" t="inlineStr">
        <is>
          <t>Salmonberry</t>
        </is>
      </c>
      <c r="C959" t="inlineStr">
        <is>
          <t>open</t>
        </is>
      </c>
      <c r="D959" t="n">
        <v>28.9</v>
      </c>
      <c r="E959">
        <f>ROUNDUP(D959, 0)</f>
        <v/>
      </c>
      <c r="F959">
        <f>IF(LOWER(C959)="covered", 10.40, 7.55)</f>
        <v/>
      </c>
      <c r="G959">
        <f>E959*F959</f>
        <v/>
      </c>
      <c r="H959" t="n">
        <v>0</v>
      </c>
      <c r="I959">
        <f>G959-H959</f>
        <v/>
      </c>
    </row>
    <row r="960">
      <c r="A960" t="inlineStr">
        <is>
          <t>SB-0321</t>
        </is>
      </c>
      <c r="B960" t="inlineStr">
        <is>
          <t>Salmonberry</t>
        </is>
      </c>
      <c r="C960" t="inlineStr">
        <is>
          <t>open</t>
        </is>
      </c>
      <c r="D960" t="n">
        <v>24</v>
      </c>
      <c r="E960">
        <f>ROUNDUP(D960, 0)</f>
        <v/>
      </c>
      <c r="F960">
        <f>IF(LOWER(C960)="covered", 10.40, 7.55)</f>
        <v/>
      </c>
      <c r="G960">
        <f>E960*F960</f>
        <v/>
      </c>
      <c r="H960" t="n">
        <v>0</v>
      </c>
      <c r="I960">
        <f>G960-H960</f>
        <v/>
      </c>
    </row>
    <row r="961">
      <c r="A961" t="inlineStr">
        <is>
          <t>SB-0322</t>
        </is>
      </c>
      <c r="B961" t="inlineStr">
        <is>
          <t>Salmonberry</t>
        </is>
      </c>
      <c r="C961" t="inlineStr">
        <is>
          <t>open</t>
        </is>
      </c>
      <c r="D961" t="n">
        <v>35.5</v>
      </c>
      <c r="E961">
        <f>ROUNDUP(D961, 0)</f>
        <v/>
      </c>
      <c r="F961">
        <f>IF(LOWER(C961)="covered", 10.40, 7.55)</f>
        <v/>
      </c>
      <c r="G961">
        <f>E961*F961</f>
        <v/>
      </c>
      <c r="H961" t="n">
        <v>0</v>
      </c>
      <c r="I961">
        <f>G961-H961</f>
        <v/>
      </c>
    </row>
    <row r="962">
      <c r="A962" t="inlineStr">
        <is>
          <t>SB-0323</t>
        </is>
      </c>
      <c r="B962" t="inlineStr">
        <is>
          <t>Salmonberry</t>
        </is>
      </c>
      <c r="C962" t="inlineStr">
        <is>
          <t>open</t>
        </is>
      </c>
      <c r="D962" t="n">
        <v>47.1</v>
      </c>
      <c r="E962">
        <f>ROUNDUP(D962, 0)</f>
        <v/>
      </c>
      <c r="F962">
        <f>IF(LOWER(C962)="covered", 10.40, 7.55)</f>
        <v/>
      </c>
      <c r="G962">
        <f>E962*F962</f>
        <v/>
      </c>
      <c r="H962" t="n">
        <v>0</v>
      </c>
      <c r="I962">
        <f>G962-H962</f>
        <v/>
      </c>
    </row>
    <row r="963">
      <c r="A963" t="inlineStr">
        <is>
          <t>SB-0324</t>
        </is>
      </c>
      <c r="B963" t="inlineStr">
        <is>
          <t>Salmonberry</t>
        </is>
      </c>
      <c r="C963" t="inlineStr">
        <is>
          <t>open</t>
        </is>
      </c>
      <c r="D963" t="n">
        <v>48.1</v>
      </c>
      <c r="E963">
        <f>ROUNDUP(D963, 0)</f>
        <v/>
      </c>
      <c r="F963">
        <f>IF(LOWER(C963)="covered", 10.40, 7.55)</f>
        <v/>
      </c>
      <c r="G963">
        <f>E963*F963</f>
        <v/>
      </c>
      <c r="H963" t="n">
        <v>0</v>
      </c>
      <c r="I963">
        <f>G963-H963</f>
        <v/>
      </c>
    </row>
    <row r="964">
      <c r="A964" t="inlineStr">
        <is>
          <t>SB-0401</t>
        </is>
      </c>
      <c r="B964" t="inlineStr">
        <is>
          <t>Salmonberry</t>
        </is>
      </c>
      <c r="C964" t="inlineStr">
        <is>
          <t>open</t>
        </is>
      </c>
      <c r="D964" t="n">
        <v>23.8</v>
      </c>
      <c r="E964">
        <f>ROUNDUP(D964, 0)</f>
        <v/>
      </c>
      <c r="F964">
        <f>IF(LOWER(C964)="covered", 10.40, 7.55)</f>
        <v/>
      </c>
      <c r="G964">
        <f>E964*F964</f>
        <v/>
      </c>
      <c r="H964" t="n">
        <v>0</v>
      </c>
      <c r="I964">
        <f>G964-H964</f>
        <v/>
      </c>
    </row>
    <row r="965">
      <c r="A965" t="inlineStr">
        <is>
          <t>SB-0402</t>
        </is>
      </c>
      <c r="B965" t="inlineStr">
        <is>
          <t>Salmonberry</t>
        </is>
      </c>
      <c r="C965" t="inlineStr">
        <is>
          <t>open</t>
        </is>
      </c>
      <c r="D965" t="n">
        <v>53.9</v>
      </c>
      <c r="E965">
        <f>ROUNDUP(D965, 0)</f>
        <v/>
      </c>
      <c r="F965">
        <f>IF(LOWER(C965)="covered", 10.40, 7.55)</f>
        <v/>
      </c>
      <c r="G965">
        <f>E965*F965</f>
        <v/>
      </c>
      <c r="H965" t="n">
        <v>0</v>
      </c>
      <c r="I965">
        <f>G965-H965</f>
        <v/>
      </c>
    </row>
    <row r="966">
      <c r="A966" t="inlineStr">
        <is>
          <t>SB-0403</t>
        </is>
      </c>
      <c r="B966" t="inlineStr">
        <is>
          <t>Salmonberry</t>
        </is>
      </c>
      <c r="C966" t="inlineStr">
        <is>
          <t>open</t>
        </is>
      </c>
      <c r="D966" t="n">
        <v>47.7</v>
      </c>
      <c r="E966">
        <f>ROUNDUP(D966, 0)</f>
        <v/>
      </c>
      <c r="F966">
        <f>IF(LOWER(C966)="covered", 10.40, 7.55)</f>
        <v/>
      </c>
      <c r="G966">
        <f>E966*F966</f>
        <v/>
      </c>
      <c r="H966" t="n">
        <v>0</v>
      </c>
      <c r="I966">
        <f>G966-H966</f>
        <v/>
      </c>
    </row>
    <row r="967">
      <c r="A967" t="inlineStr">
        <is>
          <t>SB-0404</t>
        </is>
      </c>
      <c r="B967" t="inlineStr">
        <is>
          <t>Salmonberry</t>
        </is>
      </c>
      <c r="C967" t="inlineStr">
        <is>
          <t>open</t>
        </is>
      </c>
      <c r="D967" t="n">
        <v>54.9</v>
      </c>
      <c r="E967">
        <f>ROUNDUP(D967, 0)</f>
        <v/>
      </c>
      <c r="F967">
        <f>IF(LOWER(C967)="covered", 10.40, 7.55)</f>
        <v/>
      </c>
      <c r="G967">
        <f>E967*F967</f>
        <v/>
      </c>
      <c r="H967" t="n">
        <v>0</v>
      </c>
      <c r="I967">
        <f>G967-H967</f>
        <v/>
      </c>
    </row>
    <row r="968">
      <c r="A968" t="inlineStr">
        <is>
          <t>SB-0405</t>
        </is>
      </c>
      <c r="B968" t="inlineStr">
        <is>
          <t>Salmonberry</t>
        </is>
      </c>
      <c r="C968" t="inlineStr">
        <is>
          <t>open</t>
        </is>
      </c>
      <c r="D968" t="n">
        <v>57.3</v>
      </c>
      <c r="E968">
        <f>ROUNDUP(D968, 0)</f>
        <v/>
      </c>
      <c r="F968">
        <f>IF(LOWER(C968)="covered", 10.40, 7.55)</f>
        <v/>
      </c>
      <c r="G968">
        <f>E968*F968</f>
        <v/>
      </c>
      <c r="H968" t="n">
        <v>0</v>
      </c>
      <c r="I968">
        <f>G968-H968</f>
        <v/>
      </c>
    </row>
    <row r="969">
      <c r="A969" t="inlineStr">
        <is>
          <t>SB-0406</t>
        </is>
      </c>
      <c r="B969" t="inlineStr">
        <is>
          <t>Salmonberry</t>
        </is>
      </c>
      <c r="C969" t="inlineStr">
        <is>
          <t>open</t>
        </is>
      </c>
      <c r="D969" t="n">
        <v>55.3</v>
      </c>
      <c r="E969">
        <f>ROUNDUP(D969, 0)</f>
        <v/>
      </c>
      <c r="F969">
        <f>IF(LOWER(C969)="covered", 10.40, 7.55)</f>
        <v/>
      </c>
      <c r="G969">
        <f>E969*F969</f>
        <v/>
      </c>
      <c r="H969" t="n">
        <v>0</v>
      </c>
      <c r="I969">
        <f>G969-H969</f>
        <v/>
      </c>
    </row>
    <row r="970">
      <c r="A970" t="inlineStr">
        <is>
          <t>SB-0407</t>
        </is>
      </c>
      <c r="B970" t="inlineStr">
        <is>
          <t>Salmonberry</t>
        </is>
      </c>
      <c r="C970" t="inlineStr">
        <is>
          <t>open</t>
        </is>
      </c>
      <c r="D970" t="n">
        <v>32.7</v>
      </c>
      <c r="E970">
        <f>ROUNDUP(D970, 0)</f>
        <v/>
      </c>
      <c r="F970">
        <f>IF(LOWER(C970)="covered", 10.40, 7.55)</f>
        <v/>
      </c>
      <c r="G970">
        <f>E970*F970</f>
        <v/>
      </c>
      <c r="H970" t="n">
        <v>0</v>
      </c>
      <c r="I970">
        <f>G970-H970</f>
        <v/>
      </c>
    </row>
    <row r="971">
      <c r="A971" t="inlineStr">
        <is>
          <t>SB-0408</t>
        </is>
      </c>
      <c r="B971" t="inlineStr">
        <is>
          <t>Salmonberry</t>
        </is>
      </c>
      <c r="C971" t="inlineStr">
        <is>
          <t>open</t>
        </is>
      </c>
      <c r="D971" t="n">
        <v>50.7</v>
      </c>
      <c r="E971">
        <f>ROUNDUP(D971, 0)</f>
        <v/>
      </c>
      <c r="F971">
        <f>IF(LOWER(C971)="covered", 10.40, 7.55)</f>
        <v/>
      </c>
      <c r="G971">
        <f>E971*F971</f>
        <v/>
      </c>
      <c r="H971" t="n">
        <v>0</v>
      </c>
      <c r="I971">
        <f>G971-H971</f>
        <v/>
      </c>
    </row>
    <row r="972">
      <c r="A972" t="inlineStr">
        <is>
          <t>SB-0409</t>
        </is>
      </c>
      <c r="B972" t="inlineStr">
        <is>
          <t>Salmonberry</t>
        </is>
      </c>
      <c r="C972" t="inlineStr">
        <is>
          <t>open</t>
        </is>
      </c>
      <c r="D972" t="n">
        <v>28.6</v>
      </c>
      <c r="E972">
        <f>ROUNDUP(D972, 0)</f>
        <v/>
      </c>
      <c r="F972">
        <f>IF(LOWER(C972)="covered", 10.40, 7.55)</f>
        <v/>
      </c>
      <c r="G972">
        <f>E972*F972</f>
        <v/>
      </c>
      <c r="H972" t="n">
        <v>0</v>
      </c>
      <c r="I972">
        <f>G972-H972</f>
        <v/>
      </c>
    </row>
    <row r="973">
      <c r="A973" t="inlineStr">
        <is>
          <t>SB-0410</t>
        </is>
      </c>
      <c r="B973" t="inlineStr">
        <is>
          <t>Salmonberry</t>
        </is>
      </c>
      <c r="C973" t="inlineStr">
        <is>
          <t>open</t>
        </is>
      </c>
      <c r="D973" t="n">
        <v>31.4</v>
      </c>
      <c r="E973">
        <f>ROUNDUP(D973, 0)</f>
        <v/>
      </c>
      <c r="F973">
        <f>IF(LOWER(C973)="covered", 10.40, 7.55)</f>
        <v/>
      </c>
      <c r="G973">
        <f>E973*F973</f>
        <v/>
      </c>
      <c r="H973" t="n">
        <v>0</v>
      </c>
      <c r="I973">
        <f>G973-H973</f>
        <v/>
      </c>
    </row>
    <row r="974">
      <c r="A974" t="inlineStr">
        <is>
          <t>SB-0411</t>
        </is>
      </c>
      <c r="B974" t="inlineStr">
        <is>
          <t>Salmonberry</t>
        </is>
      </c>
      <c r="C974" t="inlineStr">
        <is>
          <t>open</t>
        </is>
      </c>
      <c r="D974" t="n">
        <v>28.3</v>
      </c>
      <c r="E974">
        <f>ROUNDUP(D974, 0)</f>
        <v/>
      </c>
      <c r="F974">
        <f>IF(LOWER(C974)="covered", 10.40, 7.55)</f>
        <v/>
      </c>
      <c r="G974">
        <f>E974*F974</f>
        <v/>
      </c>
      <c r="H974" t="n">
        <v>0</v>
      </c>
      <c r="I974">
        <f>G974-H974</f>
        <v/>
      </c>
    </row>
    <row r="975">
      <c r="A975" t="inlineStr">
        <is>
          <t>SB-0412</t>
        </is>
      </c>
      <c r="B975" t="inlineStr">
        <is>
          <t>Salmonberry</t>
        </is>
      </c>
      <c r="C975" t="inlineStr">
        <is>
          <t>open</t>
        </is>
      </c>
      <c r="D975" t="n">
        <v>53.3</v>
      </c>
      <c r="E975">
        <f>ROUNDUP(D975, 0)</f>
        <v/>
      </c>
      <c r="F975">
        <f>IF(LOWER(C975)="covered", 10.40, 7.55)</f>
        <v/>
      </c>
      <c r="G975">
        <f>E975*F975</f>
        <v/>
      </c>
      <c r="H975" t="n">
        <v>0</v>
      </c>
      <c r="I975">
        <f>G975-H975</f>
        <v/>
      </c>
    </row>
    <row r="976">
      <c r="A976" t="inlineStr">
        <is>
          <t>SB-0413</t>
        </is>
      </c>
      <c r="B976" t="inlineStr">
        <is>
          <t>Salmonberry</t>
        </is>
      </c>
      <c r="C976" t="inlineStr">
        <is>
          <t>open</t>
        </is>
      </c>
      <c r="D976" t="n">
        <v>27.8</v>
      </c>
      <c r="E976">
        <f>ROUNDUP(D976, 0)</f>
        <v/>
      </c>
      <c r="F976">
        <f>IF(LOWER(C976)="covered", 10.40, 7.55)</f>
        <v/>
      </c>
      <c r="G976">
        <f>E976*F976</f>
        <v/>
      </c>
      <c r="H976" t="n">
        <v>0</v>
      </c>
      <c r="I976">
        <f>G976-H976</f>
        <v/>
      </c>
    </row>
    <row r="977">
      <c r="A977" t="inlineStr">
        <is>
          <t>SB-0414</t>
        </is>
      </c>
      <c r="B977" t="inlineStr">
        <is>
          <t>Salmonberry</t>
        </is>
      </c>
      <c r="C977" t="inlineStr">
        <is>
          <t>open</t>
        </is>
      </c>
      <c r="D977" t="n">
        <v>59.1</v>
      </c>
      <c r="E977">
        <f>ROUNDUP(D977, 0)</f>
        <v/>
      </c>
      <c r="F977">
        <f>IF(LOWER(C977)="covered", 10.40, 7.55)</f>
        <v/>
      </c>
      <c r="G977">
        <f>E977*F977</f>
        <v/>
      </c>
      <c r="H977" t="n">
        <v>0</v>
      </c>
      <c r="I977">
        <f>G977-H977</f>
        <v/>
      </c>
    </row>
    <row r="978">
      <c r="A978" t="inlineStr">
        <is>
          <t>SB-0415</t>
        </is>
      </c>
      <c r="B978" t="inlineStr">
        <is>
          <t>Salmonberry</t>
        </is>
      </c>
      <c r="C978" t="inlineStr">
        <is>
          <t>open</t>
        </is>
      </c>
      <c r="D978" t="n">
        <v>41.5</v>
      </c>
      <c r="E978">
        <f>ROUNDUP(D978, 0)</f>
        <v/>
      </c>
      <c r="F978">
        <f>IF(LOWER(C978)="covered", 10.40, 7.55)</f>
        <v/>
      </c>
      <c r="G978">
        <f>E978*F978</f>
        <v/>
      </c>
      <c r="H978" t="n">
        <v>0</v>
      </c>
      <c r="I978">
        <f>G978-H978</f>
        <v/>
      </c>
    </row>
    <row r="979">
      <c r="A979" t="inlineStr">
        <is>
          <t>SB-0416</t>
        </is>
      </c>
      <c r="B979" t="inlineStr">
        <is>
          <t>Salmonberry</t>
        </is>
      </c>
      <c r="C979" t="inlineStr">
        <is>
          <t>open</t>
        </is>
      </c>
      <c r="D979" t="n">
        <v>41.9</v>
      </c>
      <c r="E979">
        <f>ROUNDUP(D979, 0)</f>
        <v/>
      </c>
      <c r="F979">
        <f>IF(LOWER(C979)="covered", 10.40, 7.55)</f>
        <v/>
      </c>
      <c r="G979">
        <f>E979*F979</f>
        <v/>
      </c>
      <c r="H979" t="n">
        <v>0</v>
      </c>
      <c r="I979">
        <f>G979-H979</f>
        <v/>
      </c>
    </row>
    <row r="980">
      <c r="A980" t="inlineStr">
        <is>
          <t>SB-0418</t>
        </is>
      </c>
      <c r="B980" t="inlineStr">
        <is>
          <t>Salmonberry</t>
        </is>
      </c>
      <c r="C980" t="inlineStr">
        <is>
          <t>open</t>
        </is>
      </c>
      <c r="D980" t="n">
        <v>38.2</v>
      </c>
      <c r="E980">
        <f>ROUNDUP(D980, 0)</f>
        <v/>
      </c>
      <c r="F980">
        <f>IF(LOWER(C980)="covered", 10.40, 7.55)</f>
        <v/>
      </c>
      <c r="G980">
        <f>E980*F980</f>
        <v/>
      </c>
      <c r="H980" t="n">
        <v>0</v>
      </c>
      <c r="I980">
        <f>G980-H980</f>
        <v/>
      </c>
    </row>
    <row r="981">
      <c r="A981" t="inlineStr">
        <is>
          <t>SB-0419</t>
        </is>
      </c>
      <c r="B981" t="inlineStr">
        <is>
          <t>Salmonberry</t>
        </is>
      </c>
      <c r="C981" t="inlineStr">
        <is>
          <t>open</t>
        </is>
      </c>
      <c r="D981" t="n">
        <v>48.2</v>
      </c>
      <c r="E981">
        <f>ROUNDUP(D981, 0)</f>
        <v/>
      </c>
      <c r="F981">
        <f>IF(LOWER(C981)="covered", 10.40, 7.55)</f>
        <v/>
      </c>
      <c r="G981">
        <f>E981*F981</f>
        <v/>
      </c>
      <c r="H981" t="n">
        <v>0</v>
      </c>
      <c r="I981">
        <f>G981-H981</f>
        <v/>
      </c>
    </row>
    <row r="982">
      <c r="A982" t="inlineStr">
        <is>
          <t>SB-0420</t>
        </is>
      </c>
      <c r="B982" t="inlineStr">
        <is>
          <t>Salmonberry</t>
        </is>
      </c>
      <c r="C982" t="inlineStr">
        <is>
          <t>open</t>
        </is>
      </c>
      <c r="D982" t="n">
        <v>61.2</v>
      </c>
      <c r="E982">
        <f>ROUNDUP(D982, 0)</f>
        <v/>
      </c>
      <c r="F982">
        <f>IF(LOWER(C982)="covered", 10.40, 7.55)</f>
        <v/>
      </c>
      <c r="G982">
        <f>E982*F982</f>
        <v/>
      </c>
      <c r="H982" t="n">
        <v>0</v>
      </c>
      <c r="I982">
        <f>G982-H982</f>
        <v/>
      </c>
    </row>
    <row r="983">
      <c r="A983" t="inlineStr">
        <is>
          <t>SB-0421</t>
        </is>
      </c>
      <c r="B983" t="inlineStr">
        <is>
          <t>Salmonberry</t>
        </is>
      </c>
      <c r="C983" t="inlineStr">
        <is>
          <t>open</t>
        </is>
      </c>
      <c r="D983" t="n">
        <v>48.4</v>
      </c>
      <c r="E983">
        <f>ROUNDUP(D983, 0)</f>
        <v/>
      </c>
      <c r="F983">
        <f>IF(LOWER(C983)="covered", 10.40, 7.55)</f>
        <v/>
      </c>
      <c r="G983">
        <f>E983*F983</f>
        <v/>
      </c>
      <c r="H983" t="n">
        <v>0</v>
      </c>
      <c r="I983">
        <f>G983-H983</f>
        <v/>
      </c>
    </row>
    <row r="984">
      <c r="A984" t="inlineStr">
        <is>
          <t>SB-0422</t>
        </is>
      </c>
      <c r="B984" t="inlineStr">
        <is>
          <t>Salmonberry</t>
        </is>
      </c>
      <c r="C984" t="inlineStr">
        <is>
          <t>open</t>
        </is>
      </c>
      <c r="D984" t="n">
        <v>26.5</v>
      </c>
      <c r="E984">
        <f>ROUNDUP(D984, 0)</f>
        <v/>
      </c>
      <c r="F984">
        <f>IF(LOWER(C984)="covered", 10.40, 7.55)</f>
        <v/>
      </c>
      <c r="G984">
        <f>E984*F984</f>
        <v/>
      </c>
      <c r="H984" t="n">
        <v>0</v>
      </c>
      <c r="I984">
        <f>G984-H984</f>
        <v/>
      </c>
    </row>
    <row r="985">
      <c r="A985" t="inlineStr">
        <is>
          <t>SB-0423</t>
        </is>
      </c>
      <c r="B985" t="inlineStr">
        <is>
          <t>Salmonberry</t>
        </is>
      </c>
      <c r="C985" t="inlineStr">
        <is>
          <t>open</t>
        </is>
      </c>
      <c r="D985" t="n">
        <v>53.2</v>
      </c>
      <c r="E985">
        <f>ROUNDUP(D985, 0)</f>
        <v/>
      </c>
      <c r="F985">
        <f>IF(LOWER(C985)="covered", 10.40, 7.55)</f>
        <v/>
      </c>
      <c r="G985">
        <f>E985*F985</f>
        <v/>
      </c>
      <c r="H985" t="n">
        <v>0</v>
      </c>
      <c r="I985">
        <f>G985-H985</f>
        <v/>
      </c>
    </row>
    <row r="986">
      <c r="A986" t="inlineStr">
        <is>
          <t>SB-0424</t>
        </is>
      </c>
      <c r="B986" t="inlineStr">
        <is>
          <t>Salmonberry</t>
        </is>
      </c>
      <c r="C986" t="inlineStr">
        <is>
          <t>open</t>
        </is>
      </c>
      <c r="D986" t="n">
        <v>52.5</v>
      </c>
      <c r="E986">
        <f>ROUNDUP(D986, 0)</f>
        <v/>
      </c>
      <c r="F986">
        <f>IF(LOWER(C986)="covered", 10.40, 7.55)</f>
        <v/>
      </c>
      <c r="G986">
        <f>E986*F986</f>
        <v/>
      </c>
      <c r="H986" t="n">
        <v>0</v>
      </c>
      <c r="I986">
        <f>G986-H986</f>
        <v/>
      </c>
    </row>
    <row r="987">
      <c r="A987" t="inlineStr">
        <is>
          <t>SB-0502</t>
        </is>
      </c>
      <c r="B987" t="inlineStr">
        <is>
          <t>Salmonberry</t>
        </is>
      </c>
      <c r="C987" t="inlineStr">
        <is>
          <t>open</t>
        </is>
      </c>
      <c r="D987" t="n">
        <v>40.6</v>
      </c>
      <c r="E987">
        <f>ROUNDUP(D987, 0)</f>
        <v/>
      </c>
      <c r="F987">
        <f>IF(LOWER(C987)="covered", 10.40, 7.55)</f>
        <v/>
      </c>
      <c r="G987">
        <f>E987*F987</f>
        <v/>
      </c>
      <c r="H987" t="n">
        <v>0</v>
      </c>
      <c r="I987">
        <f>G987-H987</f>
        <v/>
      </c>
    </row>
    <row r="988">
      <c r="A988" t="inlineStr">
        <is>
          <t>SB-0503</t>
        </is>
      </c>
      <c r="B988" t="inlineStr">
        <is>
          <t>Salmonberry</t>
        </is>
      </c>
      <c r="C988" t="inlineStr">
        <is>
          <t>open</t>
        </is>
      </c>
      <c r="D988" t="n">
        <v>37.5</v>
      </c>
      <c r="E988">
        <f>ROUNDUP(D988, 0)</f>
        <v/>
      </c>
      <c r="F988">
        <f>IF(LOWER(C988)="covered", 10.40, 7.55)</f>
        <v/>
      </c>
      <c r="G988">
        <f>E988*F988</f>
        <v/>
      </c>
      <c r="H988" t="n">
        <v>0</v>
      </c>
      <c r="I988">
        <f>G988-H988</f>
        <v/>
      </c>
    </row>
    <row r="989">
      <c r="A989" t="inlineStr">
        <is>
          <t>SB-0504</t>
        </is>
      </c>
      <c r="B989" t="inlineStr">
        <is>
          <t>Salmonberry</t>
        </is>
      </c>
      <c r="C989" t="inlineStr">
        <is>
          <t>open</t>
        </is>
      </c>
      <c r="D989" t="n">
        <v>54.6</v>
      </c>
      <c r="E989">
        <f>ROUNDUP(D989, 0)</f>
        <v/>
      </c>
      <c r="F989">
        <f>IF(LOWER(C989)="covered", 10.40, 7.55)</f>
        <v/>
      </c>
      <c r="G989">
        <f>E989*F989</f>
        <v/>
      </c>
      <c r="H989" t="n">
        <v>0</v>
      </c>
      <c r="I989">
        <f>G989-H989</f>
        <v/>
      </c>
    </row>
    <row r="990">
      <c r="A990" t="inlineStr">
        <is>
          <t>SB-0505</t>
        </is>
      </c>
      <c r="B990" t="inlineStr">
        <is>
          <t>Salmonberry</t>
        </is>
      </c>
      <c r="C990" t="inlineStr">
        <is>
          <t>open</t>
        </is>
      </c>
      <c r="D990" t="n">
        <v>46.1</v>
      </c>
      <c r="E990">
        <f>ROUNDUP(D990, 0)</f>
        <v/>
      </c>
      <c r="F990">
        <f>IF(LOWER(C990)="covered", 10.40, 7.55)</f>
        <v/>
      </c>
      <c r="G990">
        <f>E990*F990</f>
        <v/>
      </c>
      <c r="H990" t="n">
        <v>0</v>
      </c>
      <c r="I990">
        <f>G990-H990</f>
        <v/>
      </c>
    </row>
    <row r="991">
      <c r="A991" t="inlineStr">
        <is>
          <t>SB-0506</t>
        </is>
      </c>
      <c r="B991" t="inlineStr">
        <is>
          <t>Salmonberry</t>
        </is>
      </c>
      <c r="C991" t="inlineStr">
        <is>
          <t>open</t>
        </is>
      </c>
      <c r="D991" t="n">
        <v>47.8</v>
      </c>
      <c r="E991">
        <f>ROUNDUP(D991, 0)</f>
        <v/>
      </c>
      <c r="F991">
        <f>IF(LOWER(C991)="covered", 10.40, 7.55)</f>
        <v/>
      </c>
      <c r="G991">
        <f>E991*F991</f>
        <v/>
      </c>
      <c r="H991" t="n">
        <v>0</v>
      </c>
      <c r="I991">
        <f>G991-H991</f>
        <v/>
      </c>
    </row>
    <row r="992">
      <c r="A992" t="inlineStr">
        <is>
          <t>SB-0507</t>
        </is>
      </c>
      <c r="B992" t="inlineStr">
        <is>
          <t>Salmonberry</t>
        </is>
      </c>
      <c r="C992" t="inlineStr">
        <is>
          <t>open</t>
        </is>
      </c>
      <c r="D992" t="n">
        <v>27.5</v>
      </c>
      <c r="E992">
        <f>ROUNDUP(D992, 0)</f>
        <v/>
      </c>
      <c r="F992">
        <f>IF(LOWER(C992)="covered", 10.40, 7.55)</f>
        <v/>
      </c>
      <c r="G992">
        <f>E992*F992</f>
        <v/>
      </c>
      <c r="H992" t="n">
        <v>0</v>
      </c>
      <c r="I992">
        <f>G992-H992</f>
        <v/>
      </c>
    </row>
    <row r="993">
      <c r="A993" t="inlineStr">
        <is>
          <t>SB-0509</t>
        </is>
      </c>
      <c r="B993" t="inlineStr">
        <is>
          <t>Salmonberry</t>
        </is>
      </c>
      <c r="C993" t="inlineStr">
        <is>
          <t>open</t>
        </is>
      </c>
      <c r="D993" t="n">
        <v>35.6</v>
      </c>
      <c r="E993">
        <f>ROUNDUP(D993, 0)</f>
        <v/>
      </c>
      <c r="F993">
        <f>IF(LOWER(C993)="covered", 10.40, 7.55)</f>
        <v/>
      </c>
      <c r="G993">
        <f>E993*F993</f>
        <v/>
      </c>
      <c r="H993" t="n">
        <v>0</v>
      </c>
      <c r="I993">
        <f>G993-H993</f>
        <v/>
      </c>
    </row>
    <row r="994">
      <c r="A994" t="inlineStr">
        <is>
          <t>SB-0510</t>
        </is>
      </c>
      <c r="B994" t="inlineStr">
        <is>
          <t>Salmonberry</t>
        </is>
      </c>
      <c r="C994" t="inlineStr">
        <is>
          <t>open</t>
        </is>
      </c>
      <c r="D994" t="n">
        <v>19.9</v>
      </c>
      <c r="E994">
        <f>ROUNDUP(D994, 0)</f>
        <v/>
      </c>
      <c r="F994">
        <f>IF(LOWER(C994)="covered", 10.40, 7.55)</f>
        <v/>
      </c>
      <c r="G994">
        <f>E994*F994</f>
        <v/>
      </c>
      <c r="H994" t="n">
        <v>0</v>
      </c>
      <c r="I994">
        <f>G994-H994</f>
        <v/>
      </c>
    </row>
    <row r="995">
      <c r="A995" t="inlineStr">
        <is>
          <t>SB-0511</t>
        </is>
      </c>
      <c r="B995" t="inlineStr">
        <is>
          <t>Salmonberry</t>
        </is>
      </c>
      <c r="C995" t="inlineStr">
        <is>
          <t>open</t>
        </is>
      </c>
      <c r="D995" t="n">
        <v>55.4</v>
      </c>
      <c r="E995">
        <f>ROUNDUP(D995, 0)</f>
        <v/>
      </c>
      <c r="F995">
        <f>IF(LOWER(C995)="covered", 10.40, 7.55)</f>
        <v/>
      </c>
      <c r="G995">
        <f>E995*F995</f>
        <v/>
      </c>
      <c r="H995" t="n">
        <v>0</v>
      </c>
      <c r="I995">
        <f>G995-H995</f>
        <v/>
      </c>
    </row>
    <row r="996">
      <c r="A996" t="inlineStr">
        <is>
          <t>SB-0512</t>
        </is>
      </c>
      <c r="B996" t="inlineStr">
        <is>
          <t>Salmonberry</t>
        </is>
      </c>
      <c r="C996" t="inlineStr">
        <is>
          <t>open</t>
        </is>
      </c>
      <c r="D996" t="n">
        <v>52.6</v>
      </c>
      <c r="E996">
        <f>ROUNDUP(D996, 0)</f>
        <v/>
      </c>
      <c r="F996">
        <f>IF(LOWER(C996)="covered", 10.40, 7.55)</f>
        <v/>
      </c>
      <c r="G996">
        <f>E996*F996</f>
        <v/>
      </c>
      <c r="H996" t="n">
        <v>0</v>
      </c>
      <c r="I996">
        <f>G996-H996</f>
        <v/>
      </c>
    </row>
    <row r="997">
      <c r="A997" t="inlineStr">
        <is>
          <t>SB-0514</t>
        </is>
      </c>
      <c r="B997" t="inlineStr">
        <is>
          <t>Salmonberry</t>
        </is>
      </c>
      <c r="C997" t="inlineStr">
        <is>
          <t>open</t>
        </is>
      </c>
      <c r="D997" t="n">
        <v>20.1</v>
      </c>
      <c r="E997">
        <f>ROUNDUP(D997, 0)</f>
        <v/>
      </c>
      <c r="F997">
        <f>IF(LOWER(C997)="covered", 10.40, 7.55)</f>
        <v/>
      </c>
      <c r="G997">
        <f>E997*F997</f>
        <v/>
      </c>
      <c r="H997" t="n">
        <v>0</v>
      </c>
      <c r="I997">
        <f>G997-H997</f>
        <v/>
      </c>
    </row>
    <row r="998">
      <c r="A998" t="inlineStr">
        <is>
          <t>SB-0515</t>
        </is>
      </c>
      <c r="B998" t="inlineStr">
        <is>
          <t>Salmonberry</t>
        </is>
      </c>
      <c r="C998" t="inlineStr">
        <is>
          <t>open</t>
        </is>
      </c>
      <c r="D998" t="n">
        <v>22.8</v>
      </c>
      <c r="E998">
        <f>ROUNDUP(D998, 0)</f>
        <v/>
      </c>
      <c r="F998">
        <f>IF(LOWER(C998)="covered", 10.40, 7.55)</f>
        <v/>
      </c>
      <c r="G998">
        <f>E998*F998</f>
        <v/>
      </c>
      <c r="H998" t="n">
        <v>0</v>
      </c>
      <c r="I998">
        <f>G998-H998</f>
        <v/>
      </c>
    </row>
    <row r="999">
      <c r="A999" t="inlineStr">
        <is>
          <t>SB-0516</t>
        </is>
      </c>
      <c r="B999" t="inlineStr">
        <is>
          <t>Salmonberry</t>
        </is>
      </c>
      <c r="C999" t="inlineStr">
        <is>
          <t>open</t>
        </is>
      </c>
      <c r="D999" t="n">
        <v>36.4</v>
      </c>
      <c r="E999">
        <f>ROUNDUP(D999, 0)</f>
        <v/>
      </c>
      <c r="F999">
        <f>IF(LOWER(C999)="covered", 10.40, 7.55)</f>
        <v/>
      </c>
      <c r="G999">
        <f>E999*F999</f>
        <v/>
      </c>
      <c r="H999" t="n">
        <v>0</v>
      </c>
      <c r="I999">
        <f>G999-H999</f>
        <v/>
      </c>
    </row>
    <row r="1000">
      <c r="A1000" t="inlineStr">
        <is>
          <t>SB-0518</t>
        </is>
      </c>
      <c r="B1000" t="inlineStr">
        <is>
          <t>Salmonberry</t>
        </is>
      </c>
      <c r="C1000" t="inlineStr">
        <is>
          <t>open</t>
        </is>
      </c>
      <c r="D1000" t="n">
        <v>24.9</v>
      </c>
      <c r="E1000">
        <f>ROUNDUP(D1000, 0)</f>
        <v/>
      </c>
      <c r="F1000">
        <f>IF(LOWER(C1000)="covered", 10.40, 7.55)</f>
        <v/>
      </c>
      <c r="G1000">
        <f>E1000*F1000</f>
        <v/>
      </c>
      <c r="H1000" t="n">
        <v>0</v>
      </c>
      <c r="I1000">
        <f>G1000-H1000</f>
        <v/>
      </c>
    </row>
    <row r="1001">
      <c r="A1001" t="inlineStr">
        <is>
          <t>SB-0520</t>
        </is>
      </c>
      <c r="B1001" t="inlineStr">
        <is>
          <t>Salmonberry</t>
        </is>
      </c>
      <c r="C1001" t="inlineStr">
        <is>
          <t>open</t>
        </is>
      </c>
      <c r="D1001" t="n">
        <v>25.7</v>
      </c>
      <c r="E1001">
        <f>ROUNDUP(D1001, 0)</f>
        <v/>
      </c>
      <c r="F1001">
        <f>IF(LOWER(C1001)="covered", 10.40, 7.55)</f>
        <v/>
      </c>
      <c r="G1001">
        <f>E1001*F1001</f>
        <v/>
      </c>
      <c r="H1001" t="n">
        <v>0</v>
      </c>
      <c r="I1001">
        <f>G1001-H1001</f>
        <v/>
      </c>
    </row>
    <row r="1002">
      <c r="A1002" t="inlineStr">
        <is>
          <t>SB-0521</t>
        </is>
      </c>
      <c r="B1002" t="inlineStr">
        <is>
          <t>Salmonberry</t>
        </is>
      </c>
      <c r="C1002" t="inlineStr">
        <is>
          <t>open</t>
        </is>
      </c>
      <c r="D1002" t="n">
        <v>54.6</v>
      </c>
      <c r="E1002">
        <f>ROUNDUP(D1002, 0)</f>
        <v/>
      </c>
      <c r="F1002">
        <f>IF(LOWER(C1002)="covered", 10.40, 7.55)</f>
        <v/>
      </c>
      <c r="G1002">
        <f>E1002*F1002</f>
        <v/>
      </c>
      <c r="H1002" t="n">
        <v>0</v>
      </c>
      <c r="I1002">
        <f>G1002-H1002</f>
        <v/>
      </c>
    </row>
    <row r="1003">
      <c r="A1003" t="inlineStr">
        <is>
          <t>SB-0522</t>
        </is>
      </c>
      <c r="B1003" t="inlineStr">
        <is>
          <t>Salmonberry</t>
        </is>
      </c>
      <c r="C1003" t="inlineStr">
        <is>
          <t>open</t>
        </is>
      </c>
      <c r="D1003" t="n">
        <v>31.6</v>
      </c>
      <c r="E1003">
        <f>ROUNDUP(D1003, 0)</f>
        <v/>
      </c>
      <c r="F1003">
        <f>IF(LOWER(C1003)="covered", 10.40, 7.55)</f>
        <v/>
      </c>
      <c r="G1003">
        <f>E1003*F1003</f>
        <v/>
      </c>
      <c r="H1003" t="n">
        <v>0</v>
      </c>
      <c r="I1003">
        <f>G1003-H1003</f>
        <v/>
      </c>
    </row>
    <row r="1004">
      <c r="A1004" t="inlineStr">
        <is>
          <t>SB-0523</t>
        </is>
      </c>
      <c r="B1004" t="inlineStr">
        <is>
          <t>Salmonberry</t>
        </is>
      </c>
      <c r="C1004" t="inlineStr">
        <is>
          <t>open</t>
        </is>
      </c>
      <c r="D1004" t="n">
        <v>47.2</v>
      </c>
      <c r="E1004">
        <f>ROUNDUP(D1004, 0)</f>
        <v/>
      </c>
      <c r="F1004">
        <f>IF(LOWER(C1004)="covered", 10.40, 7.55)</f>
        <v/>
      </c>
      <c r="G1004">
        <f>E1004*F1004</f>
        <v/>
      </c>
      <c r="H1004" t="n">
        <v>0</v>
      </c>
      <c r="I1004">
        <f>G1004-H1004</f>
        <v/>
      </c>
    </row>
    <row r="1005">
      <c r="A1005" t="inlineStr">
        <is>
          <t>SB-0524</t>
        </is>
      </c>
      <c r="B1005" t="inlineStr">
        <is>
          <t>Salmonberry</t>
        </is>
      </c>
      <c r="C1005" t="inlineStr">
        <is>
          <t>open</t>
        </is>
      </c>
      <c r="D1005" t="n">
        <v>40.4</v>
      </c>
      <c r="E1005">
        <f>ROUNDUP(D1005, 0)</f>
        <v/>
      </c>
      <c r="F1005">
        <f>IF(LOWER(C1005)="covered", 10.40, 7.55)</f>
        <v/>
      </c>
      <c r="G1005">
        <f>E1005*F1005</f>
        <v/>
      </c>
      <c r="H1005" t="n">
        <v>0</v>
      </c>
      <c r="I1005">
        <f>G1005-H1005</f>
        <v/>
      </c>
    </row>
    <row r="1006">
      <c r="A1006" t="inlineStr">
        <is>
          <t>SB-0601</t>
        </is>
      </c>
      <c r="B1006" t="inlineStr">
        <is>
          <t>Salmonberry</t>
        </is>
      </c>
      <c r="C1006" t="inlineStr">
        <is>
          <t>open</t>
        </is>
      </c>
      <c r="D1006" t="n">
        <v>34.5</v>
      </c>
      <c r="E1006">
        <f>ROUNDUP(D1006, 0)</f>
        <v/>
      </c>
      <c r="F1006">
        <f>IF(LOWER(C1006)="covered", 10.40, 7.55)</f>
        <v/>
      </c>
      <c r="G1006">
        <f>E1006*F1006</f>
        <v/>
      </c>
      <c r="H1006" t="n">
        <v>0</v>
      </c>
      <c r="I1006">
        <f>G1006-H1006</f>
        <v/>
      </c>
    </row>
    <row r="1007">
      <c r="A1007" t="inlineStr">
        <is>
          <t>SB-0602</t>
        </is>
      </c>
      <c r="B1007" t="inlineStr">
        <is>
          <t>Salmonberry</t>
        </is>
      </c>
      <c r="C1007" t="inlineStr">
        <is>
          <t>open</t>
        </is>
      </c>
      <c r="D1007" t="n">
        <v>52.7</v>
      </c>
      <c r="E1007">
        <f>ROUNDUP(D1007, 0)</f>
        <v/>
      </c>
      <c r="F1007">
        <f>IF(LOWER(C1007)="covered", 10.40, 7.55)</f>
        <v/>
      </c>
      <c r="G1007">
        <f>E1007*F1007</f>
        <v/>
      </c>
      <c r="H1007" t="n">
        <v>0</v>
      </c>
      <c r="I1007">
        <f>G1007-H1007</f>
        <v/>
      </c>
    </row>
    <row r="1008">
      <c r="A1008" t="inlineStr">
        <is>
          <t>SB-0603</t>
        </is>
      </c>
      <c r="B1008" t="inlineStr">
        <is>
          <t>Salmonberry</t>
        </is>
      </c>
      <c r="C1008" t="inlineStr">
        <is>
          <t>open</t>
        </is>
      </c>
      <c r="D1008" t="n">
        <v>33.2</v>
      </c>
      <c r="E1008">
        <f>ROUNDUP(D1008, 0)</f>
        <v/>
      </c>
      <c r="F1008">
        <f>IF(LOWER(C1008)="covered", 10.40, 7.55)</f>
        <v/>
      </c>
      <c r="G1008">
        <f>E1008*F1008</f>
        <v/>
      </c>
      <c r="H1008" t="n">
        <v>0</v>
      </c>
      <c r="I1008">
        <f>G1008-H1008</f>
        <v/>
      </c>
    </row>
    <row r="1009">
      <c r="A1009" t="inlineStr">
        <is>
          <t>SB-0604</t>
        </is>
      </c>
      <c r="B1009" t="inlineStr">
        <is>
          <t>Salmonberry</t>
        </is>
      </c>
      <c r="C1009" t="inlineStr">
        <is>
          <t>open</t>
        </is>
      </c>
      <c r="D1009" t="n">
        <v>21</v>
      </c>
      <c r="E1009">
        <f>ROUNDUP(D1009, 0)</f>
        <v/>
      </c>
      <c r="F1009">
        <f>IF(LOWER(C1009)="covered", 10.40, 7.55)</f>
        <v/>
      </c>
      <c r="G1009">
        <f>E1009*F1009</f>
        <v/>
      </c>
      <c r="H1009" t="n">
        <v>0</v>
      </c>
      <c r="I1009">
        <f>G1009-H1009</f>
        <v/>
      </c>
    </row>
    <row r="1010">
      <c r="A1010" t="inlineStr">
        <is>
          <t>SB-0605</t>
        </is>
      </c>
      <c r="B1010" t="inlineStr">
        <is>
          <t>Salmonberry</t>
        </is>
      </c>
      <c r="C1010" t="inlineStr">
        <is>
          <t>open</t>
        </is>
      </c>
      <c r="D1010" t="n">
        <v>41.9</v>
      </c>
      <c r="E1010">
        <f>ROUNDUP(D1010, 0)</f>
        <v/>
      </c>
      <c r="F1010">
        <f>IF(LOWER(C1010)="covered", 10.40, 7.55)</f>
        <v/>
      </c>
      <c r="G1010">
        <f>E1010*F1010</f>
        <v/>
      </c>
      <c r="H1010" t="n">
        <v>0</v>
      </c>
      <c r="I1010">
        <f>G1010-H1010</f>
        <v/>
      </c>
    </row>
    <row r="1011">
      <c r="A1011" t="inlineStr">
        <is>
          <t>SB-0606</t>
        </is>
      </c>
      <c r="B1011" t="inlineStr">
        <is>
          <t>Salmonberry</t>
        </is>
      </c>
      <c r="C1011" t="inlineStr">
        <is>
          <t>open</t>
        </is>
      </c>
      <c r="D1011" t="n">
        <v>47.1</v>
      </c>
      <c r="E1011">
        <f>ROUNDUP(D1011, 0)</f>
        <v/>
      </c>
      <c r="F1011">
        <f>IF(LOWER(C1011)="covered", 10.40, 7.55)</f>
        <v/>
      </c>
      <c r="G1011">
        <f>E1011*F1011</f>
        <v/>
      </c>
      <c r="H1011" t="n">
        <v>0</v>
      </c>
      <c r="I1011">
        <f>G1011-H1011</f>
        <v/>
      </c>
    </row>
    <row r="1012">
      <c r="A1012" t="inlineStr">
        <is>
          <t>SB-0607</t>
        </is>
      </c>
      <c r="B1012" t="inlineStr">
        <is>
          <t>Salmonberry</t>
        </is>
      </c>
      <c r="C1012" t="inlineStr">
        <is>
          <t>open</t>
        </is>
      </c>
      <c r="D1012" t="n">
        <v>30.9</v>
      </c>
      <c r="E1012">
        <f>ROUNDUP(D1012, 0)</f>
        <v/>
      </c>
      <c r="F1012">
        <f>IF(LOWER(C1012)="covered", 10.40, 7.55)</f>
        <v/>
      </c>
      <c r="G1012">
        <f>E1012*F1012</f>
        <v/>
      </c>
      <c r="H1012" t="n">
        <v>0</v>
      </c>
      <c r="I1012">
        <f>G1012-H1012</f>
        <v/>
      </c>
    </row>
    <row r="1013">
      <c r="A1013" t="inlineStr">
        <is>
          <t>SB-0609</t>
        </is>
      </c>
      <c r="B1013" t="inlineStr">
        <is>
          <t>Salmonberry</t>
        </is>
      </c>
      <c r="C1013" t="inlineStr">
        <is>
          <t>open</t>
        </is>
      </c>
      <c r="D1013" t="n">
        <v>37</v>
      </c>
      <c r="E1013">
        <f>ROUNDUP(D1013, 0)</f>
        <v/>
      </c>
      <c r="F1013">
        <f>IF(LOWER(C1013)="covered", 10.40, 7.55)</f>
        <v/>
      </c>
      <c r="G1013">
        <f>E1013*F1013</f>
        <v/>
      </c>
      <c r="H1013" t="n">
        <v>0</v>
      </c>
      <c r="I1013">
        <f>G1013-H1013</f>
        <v/>
      </c>
    </row>
    <row r="1014">
      <c r="A1014" t="inlineStr">
        <is>
          <t>SB-0610</t>
        </is>
      </c>
      <c r="B1014" t="inlineStr">
        <is>
          <t>Salmonberry</t>
        </is>
      </c>
      <c r="C1014" t="inlineStr">
        <is>
          <t>open</t>
        </is>
      </c>
      <c r="D1014" t="n">
        <v>31.7</v>
      </c>
      <c r="E1014">
        <f>ROUNDUP(D1014, 0)</f>
        <v/>
      </c>
      <c r="F1014">
        <f>IF(LOWER(C1014)="covered", 10.40, 7.55)</f>
        <v/>
      </c>
      <c r="G1014">
        <f>E1014*F1014</f>
        <v/>
      </c>
      <c r="H1014" t="n">
        <v>0</v>
      </c>
      <c r="I1014">
        <f>G1014-H1014</f>
        <v/>
      </c>
    </row>
    <row r="1015">
      <c r="A1015" t="inlineStr">
        <is>
          <t>SB-0611</t>
        </is>
      </c>
      <c r="B1015" t="inlineStr">
        <is>
          <t>Salmonberry</t>
        </is>
      </c>
      <c r="C1015" t="inlineStr">
        <is>
          <t>open</t>
        </is>
      </c>
      <c r="D1015" t="n">
        <v>24.7</v>
      </c>
      <c r="E1015">
        <f>ROUNDUP(D1015, 0)</f>
        <v/>
      </c>
      <c r="F1015">
        <f>IF(LOWER(C1015)="covered", 10.40, 7.55)</f>
        <v/>
      </c>
      <c r="G1015">
        <f>E1015*F1015</f>
        <v/>
      </c>
      <c r="H1015" t="n">
        <v>0</v>
      </c>
      <c r="I1015">
        <f>G1015-H1015</f>
        <v/>
      </c>
    </row>
    <row r="1016">
      <c r="A1016" t="inlineStr">
        <is>
          <t>SB-0612</t>
        </is>
      </c>
      <c r="B1016" t="inlineStr">
        <is>
          <t>Salmonberry</t>
        </is>
      </c>
      <c r="C1016" t="inlineStr">
        <is>
          <t>open</t>
        </is>
      </c>
      <c r="D1016" t="n">
        <v>45</v>
      </c>
      <c r="E1016">
        <f>ROUNDUP(D1016, 0)</f>
        <v/>
      </c>
      <c r="F1016">
        <f>IF(LOWER(C1016)="covered", 10.40, 7.55)</f>
        <v/>
      </c>
      <c r="G1016">
        <f>E1016*F1016</f>
        <v/>
      </c>
      <c r="H1016" t="n">
        <v>0</v>
      </c>
      <c r="I1016">
        <f>G1016-H1016</f>
        <v/>
      </c>
    </row>
    <row r="1017">
      <c r="A1017" t="inlineStr">
        <is>
          <t>SB-0613</t>
        </is>
      </c>
      <c r="B1017" t="inlineStr">
        <is>
          <t>Salmonberry</t>
        </is>
      </c>
      <c r="C1017" t="inlineStr">
        <is>
          <t>open</t>
        </is>
      </c>
      <c r="D1017" t="n">
        <v>53.6</v>
      </c>
      <c r="E1017">
        <f>ROUNDUP(D1017, 0)</f>
        <v/>
      </c>
      <c r="F1017">
        <f>IF(LOWER(C1017)="covered", 10.40, 7.55)</f>
        <v/>
      </c>
      <c r="G1017">
        <f>E1017*F1017</f>
        <v/>
      </c>
      <c r="H1017" t="n">
        <v>0</v>
      </c>
      <c r="I1017">
        <f>G1017-H1017</f>
        <v/>
      </c>
    </row>
    <row r="1018">
      <c r="A1018" t="inlineStr">
        <is>
          <t>SB-0614</t>
        </is>
      </c>
      <c r="B1018" t="inlineStr">
        <is>
          <t>Salmonberry</t>
        </is>
      </c>
      <c r="C1018" t="inlineStr">
        <is>
          <t>open</t>
        </is>
      </c>
      <c r="D1018" t="n">
        <v>49.5</v>
      </c>
      <c r="E1018">
        <f>ROUNDUP(D1018, 0)</f>
        <v/>
      </c>
      <c r="F1018">
        <f>IF(LOWER(C1018)="covered", 10.40, 7.55)</f>
        <v/>
      </c>
      <c r="G1018">
        <f>E1018*F1018</f>
        <v/>
      </c>
      <c r="H1018" t="n">
        <v>0</v>
      </c>
      <c r="I1018">
        <f>G1018-H1018</f>
        <v/>
      </c>
    </row>
    <row r="1019">
      <c r="A1019" t="inlineStr">
        <is>
          <t>SB-0615</t>
        </is>
      </c>
      <c r="B1019" t="inlineStr">
        <is>
          <t>Salmonberry</t>
        </is>
      </c>
      <c r="C1019" t="inlineStr">
        <is>
          <t>open</t>
        </is>
      </c>
      <c r="D1019" t="n">
        <v>27.7</v>
      </c>
      <c r="E1019">
        <f>ROUNDUP(D1019, 0)</f>
        <v/>
      </c>
      <c r="F1019">
        <f>IF(LOWER(C1019)="covered", 10.40, 7.55)</f>
        <v/>
      </c>
      <c r="G1019">
        <f>E1019*F1019</f>
        <v/>
      </c>
      <c r="H1019" t="n">
        <v>0</v>
      </c>
      <c r="I1019">
        <f>G1019-H1019</f>
        <v/>
      </c>
    </row>
    <row r="1020">
      <c r="A1020" t="inlineStr">
        <is>
          <t>SB-0616</t>
        </is>
      </c>
      <c r="B1020" t="inlineStr">
        <is>
          <t>Salmonberry</t>
        </is>
      </c>
      <c r="C1020" t="inlineStr">
        <is>
          <t>open</t>
        </is>
      </c>
      <c r="D1020" t="n">
        <v>41.8</v>
      </c>
      <c r="E1020">
        <f>ROUNDUP(D1020, 0)</f>
        <v/>
      </c>
      <c r="F1020">
        <f>IF(LOWER(C1020)="covered", 10.40, 7.55)</f>
        <v/>
      </c>
      <c r="G1020">
        <f>E1020*F1020</f>
        <v/>
      </c>
      <c r="H1020" t="n">
        <v>0</v>
      </c>
      <c r="I1020">
        <f>G1020-H1020</f>
        <v/>
      </c>
    </row>
    <row r="1021">
      <c r="A1021" t="inlineStr">
        <is>
          <t>SB-0617</t>
        </is>
      </c>
      <c r="B1021" t="inlineStr">
        <is>
          <t>Salmonberry</t>
        </is>
      </c>
      <c r="C1021" t="inlineStr">
        <is>
          <t>open</t>
        </is>
      </c>
      <c r="D1021" t="n">
        <v>26.3</v>
      </c>
      <c r="E1021">
        <f>ROUNDUP(D1021, 0)</f>
        <v/>
      </c>
      <c r="F1021">
        <f>IF(LOWER(C1021)="covered", 10.40, 7.55)</f>
        <v/>
      </c>
      <c r="G1021">
        <f>E1021*F1021</f>
        <v/>
      </c>
      <c r="H1021" t="n">
        <v>0</v>
      </c>
      <c r="I1021">
        <f>G1021-H1021</f>
        <v/>
      </c>
    </row>
    <row r="1022">
      <c r="A1022" t="inlineStr">
        <is>
          <t>SB-0619</t>
        </is>
      </c>
      <c r="B1022" t="inlineStr">
        <is>
          <t>Salmonberry</t>
        </is>
      </c>
      <c r="C1022" t="inlineStr">
        <is>
          <t>open</t>
        </is>
      </c>
      <c r="D1022" t="n">
        <v>26.3</v>
      </c>
      <c r="E1022">
        <f>ROUNDUP(D1022, 0)</f>
        <v/>
      </c>
      <c r="F1022">
        <f>IF(LOWER(C1022)="covered", 10.40, 7.55)</f>
        <v/>
      </c>
      <c r="G1022">
        <f>E1022*F1022</f>
        <v/>
      </c>
      <c r="H1022" t="n">
        <v>0</v>
      </c>
      <c r="I1022">
        <f>G1022-H1022</f>
        <v/>
      </c>
    </row>
    <row r="1023">
      <c r="A1023" t="inlineStr">
        <is>
          <t>SB-0620</t>
        </is>
      </c>
      <c r="B1023" t="inlineStr">
        <is>
          <t>Salmonberry</t>
        </is>
      </c>
      <c r="C1023" t="inlineStr">
        <is>
          <t>open</t>
        </is>
      </c>
      <c r="D1023" t="n">
        <v>61.4</v>
      </c>
      <c r="E1023">
        <f>ROUNDUP(D1023, 0)</f>
        <v/>
      </c>
      <c r="F1023">
        <f>IF(LOWER(C1023)="covered", 10.40, 7.55)</f>
        <v/>
      </c>
      <c r="G1023">
        <f>E1023*F1023</f>
        <v/>
      </c>
      <c r="H1023" t="n">
        <v>0</v>
      </c>
      <c r="I1023">
        <f>G1023-H1023</f>
        <v/>
      </c>
    </row>
    <row r="1024">
      <c r="A1024" t="inlineStr">
        <is>
          <t>SB-0621</t>
        </is>
      </c>
      <c r="B1024" t="inlineStr">
        <is>
          <t>Salmonberry</t>
        </is>
      </c>
      <c r="C1024" t="inlineStr">
        <is>
          <t>open</t>
        </is>
      </c>
      <c r="D1024" t="n">
        <v>25.8</v>
      </c>
      <c r="E1024">
        <f>ROUNDUP(D1024, 0)</f>
        <v/>
      </c>
      <c r="F1024">
        <f>IF(LOWER(C1024)="covered", 10.40, 7.55)</f>
        <v/>
      </c>
      <c r="G1024">
        <f>E1024*F1024</f>
        <v/>
      </c>
      <c r="H1024" t="n">
        <v>0</v>
      </c>
      <c r="I1024">
        <f>G1024-H1024</f>
        <v/>
      </c>
    </row>
    <row r="1025">
      <c r="A1025" t="inlineStr">
        <is>
          <t>SB-0622</t>
        </is>
      </c>
      <c r="B1025" t="inlineStr">
        <is>
          <t>Salmonberry</t>
        </is>
      </c>
      <c r="C1025" t="inlineStr">
        <is>
          <t>open</t>
        </is>
      </c>
      <c r="D1025" t="n">
        <v>34.1</v>
      </c>
      <c r="E1025">
        <f>ROUNDUP(D1025, 0)</f>
        <v/>
      </c>
      <c r="F1025">
        <f>IF(LOWER(C1025)="covered", 10.40, 7.55)</f>
        <v/>
      </c>
      <c r="G1025">
        <f>E1025*F1025</f>
        <v/>
      </c>
      <c r="H1025" t="n">
        <v>0</v>
      </c>
      <c r="I1025">
        <f>G1025-H1025</f>
        <v/>
      </c>
    </row>
    <row r="1026">
      <c r="A1026" t="inlineStr">
        <is>
          <t>SB-0623</t>
        </is>
      </c>
      <c r="B1026" t="inlineStr">
        <is>
          <t>Salmonberry</t>
        </is>
      </c>
      <c r="C1026" t="inlineStr">
        <is>
          <t>open</t>
        </is>
      </c>
      <c r="D1026" t="n">
        <v>41.8</v>
      </c>
      <c r="E1026">
        <f>ROUNDUP(D1026, 0)</f>
        <v/>
      </c>
      <c r="F1026">
        <f>IF(LOWER(C1026)="covered", 10.40, 7.55)</f>
        <v/>
      </c>
      <c r="G1026">
        <f>E1026*F1026</f>
        <v/>
      </c>
      <c r="H1026" t="n">
        <v>0</v>
      </c>
      <c r="I1026">
        <f>G1026-H1026</f>
        <v/>
      </c>
    </row>
    <row r="1027">
      <c r="A1027" t="inlineStr">
        <is>
          <t>SB-0624</t>
        </is>
      </c>
      <c r="B1027" t="inlineStr">
        <is>
          <t>Salmonberry</t>
        </is>
      </c>
      <c r="C1027" t="inlineStr">
        <is>
          <t>open</t>
        </is>
      </c>
      <c r="D1027" t="n">
        <v>32.4</v>
      </c>
      <c r="E1027">
        <f>ROUNDUP(D1027, 0)</f>
        <v/>
      </c>
      <c r="F1027">
        <f>IF(LOWER(C1027)="covered", 10.40, 7.55)</f>
        <v/>
      </c>
      <c r="G1027">
        <f>E1027*F1027</f>
        <v/>
      </c>
      <c r="H1027" t="n">
        <v>0</v>
      </c>
      <c r="I1027">
        <f>G1027-H1027</f>
        <v/>
      </c>
    </row>
    <row r="1028">
      <c r="A1028" t="inlineStr">
        <is>
          <t>SB-0701</t>
        </is>
      </c>
      <c r="B1028" t="inlineStr">
        <is>
          <t>Salmonberry</t>
        </is>
      </c>
      <c r="C1028" t="inlineStr">
        <is>
          <t>open</t>
        </is>
      </c>
      <c r="D1028" t="n">
        <v>37.3</v>
      </c>
      <c r="E1028">
        <f>ROUNDUP(D1028, 0)</f>
        <v/>
      </c>
      <c r="F1028">
        <f>IF(LOWER(C1028)="covered", 10.40, 7.55)</f>
        <v/>
      </c>
      <c r="G1028">
        <f>E1028*F1028</f>
        <v/>
      </c>
      <c r="H1028" t="n">
        <v>0</v>
      </c>
      <c r="I1028">
        <f>G1028-H1028</f>
        <v/>
      </c>
    </row>
    <row r="1029">
      <c r="A1029" t="inlineStr">
        <is>
          <t>SB-0702</t>
        </is>
      </c>
      <c r="B1029" t="inlineStr">
        <is>
          <t>Salmonberry</t>
        </is>
      </c>
      <c r="C1029" t="inlineStr">
        <is>
          <t>open</t>
        </is>
      </c>
      <c r="D1029" t="n">
        <v>19.2</v>
      </c>
      <c r="E1029">
        <f>ROUNDUP(D1029, 0)</f>
        <v/>
      </c>
      <c r="F1029">
        <f>IF(LOWER(C1029)="covered", 10.40, 7.55)</f>
        <v/>
      </c>
      <c r="G1029">
        <f>E1029*F1029</f>
        <v/>
      </c>
      <c r="H1029" t="n">
        <v>0</v>
      </c>
      <c r="I1029">
        <f>G1029-H1029</f>
        <v/>
      </c>
    </row>
    <row r="1030">
      <c r="A1030" t="inlineStr">
        <is>
          <t>SB-0703</t>
        </is>
      </c>
      <c r="B1030" t="inlineStr">
        <is>
          <t>Salmonberry</t>
        </is>
      </c>
      <c r="C1030" t="inlineStr">
        <is>
          <t>open</t>
        </is>
      </c>
      <c r="D1030" t="n">
        <v>23.6</v>
      </c>
      <c r="E1030">
        <f>ROUNDUP(D1030, 0)</f>
        <v/>
      </c>
      <c r="F1030">
        <f>IF(LOWER(C1030)="covered", 10.40, 7.55)</f>
        <v/>
      </c>
      <c r="G1030">
        <f>E1030*F1030</f>
        <v/>
      </c>
      <c r="H1030" t="n">
        <v>0</v>
      </c>
      <c r="I1030">
        <f>G1030-H1030</f>
        <v/>
      </c>
    </row>
    <row r="1031">
      <c r="A1031" t="inlineStr">
        <is>
          <t>SB-0704</t>
        </is>
      </c>
      <c r="B1031" t="inlineStr">
        <is>
          <t>Salmonberry</t>
        </is>
      </c>
      <c r="C1031" t="inlineStr">
        <is>
          <t>open</t>
        </is>
      </c>
      <c r="D1031" t="n">
        <v>25.3</v>
      </c>
      <c r="E1031">
        <f>ROUNDUP(D1031, 0)</f>
        <v/>
      </c>
      <c r="F1031">
        <f>IF(LOWER(C1031)="covered", 10.40, 7.55)</f>
        <v/>
      </c>
      <c r="G1031">
        <f>E1031*F1031</f>
        <v/>
      </c>
      <c r="H1031" t="n">
        <v>0</v>
      </c>
      <c r="I1031">
        <f>G1031-H1031</f>
        <v/>
      </c>
    </row>
    <row r="1032">
      <c r="A1032" t="inlineStr">
        <is>
          <t>SB-0705</t>
        </is>
      </c>
      <c r="B1032" t="inlineStr">
        <is>
          <t>Salmonberry</t>
        </is>
      </c>
      <c r="C1032" t="inlineStr">
        <is>
          <t>open</t>
        </is>
      </c>
      <c r="D1032" t="n">
        <v>48.9</v>
      </c>
      <c r="E1032">
        <f>ROUNDUP(D1032, 0)</f>
        <v/>
      </c>
      <c r="F1032">
        <f>IF(LOWER(C1032)="covered", 10.40, 7.55)</f>
        <v/>
      </c>
      <c r="G1032">
        <f>E1032*F1032</f>
        <v/>
      </c>
      <c r="H1032" t="n">
        <v>0</v>
      </c>
      <c r="I1032">
        <f>G1032-H1032</f>
        <v/>
      </c>
    </row>
    <row r="1033">
      <c r="A1033" t="inlineStr">
        <is>
          <t>SB-0706</t>
        </is>
      </c>
      <c r="B1033" t="inlineStr">
        <is>
          <t>Salmonberry</t>
        </is>
      </c>
      <c r="C1033" t="inlineStr">
        <is>
          <t>open</t>
        </is>
      </c>
      <c r="D1033" t="n">
        <v>44.5</v>
      </c>
      <c r="E1033">
        <f>ROUNDUP(D1033, 0)</f>
        <v/>
      </c>
      <c r="F1033">
        <f>IF(LOWER(C1033)="covered", 10.40, 7.55)</f>
        <v/>
      </c>
      <c r="G1033">
        <f>E1033*F1033</f>
        <v/>
      </c>
      <c r="H1033" t="n">
        <v>0</v>
      </c>
      <c r="I1033">
        <f>G1033-H1033</f>
        <v/>
      </c>
    </row>
    <row r="1034">
      <c r="A1034" t="inlineStr">
        <is>
          <t>SB-0707</t>
        </is>
      </c>
      <c r="B1034" t="inlineStr">
        <is>
          <t>Salmonberry</t>
        </is>
      </c>
      <c r="C1034" t="inlineStr">
        <is>
          <t>open</t>
        </is>
      </c>
      <c r="D1034" t="n">
        <v>38.7</v>
      </c>
      <c r="E1034">
        <f>ROUNDUP(D1034, 0)</f>
        <v/>
      </c>
      <c r="F1034">
        <f>IF(LOWER(C1034)="covered", 10.40, 7.55)</f>
        <v/>
      </c>
      <c r="G1034">
        <f>E1034*F1034</f>
        <v/>
      </c>
      <c r="H1034" t="n">
        <v>0</v>
      </c>
      <c r="I1034">
        <f>G1034-H1034</f>
        <v/>
      </c>
    </row>
    <row r="1035">
      <c r="A1035" t="inlineStr">
        <is>
          <t>SB-0708</t>
        </is>
      </c>
      <c r="B1035" t="inlineStr">
        <is>
          <t>Salmonberry</t>
        </is>
      </c>
      <c r="C1035" t="inlineStr">
        <is>
          <t>open</t>
        </is>
      </c>
      <c r="D1035" t="n">
        <v>25.7</v>
      </c>
      <c r="E1035">
        <f>ROUNDUP(D1035, 0)</f>
        <v/>
      </c>
      <c r="F1035">
        <f>IF(LOWER(C1035)="covered", 10.40, 7.55)</f>
        <v/>
      </c>
      <c r="G1035">
        <f>E1035*F1035</f>
        <v/>
      </c>
      <c r="H1035" t="n">
        <v>0</v>
      </c>
      <c r="I1035">
        <f>G1035-H1035</f>
        <v/>
      </c>
    </row>
    <row r="1036">
      <c r="A1036" t="inlineStr">
        <is>
          <t>SB-0709</t>
        </is>
      </c>
      <c r="B1036" t="inlineStr">
        <is>
          <t>Salmonberry</t>
        </is>
      </c>
      <c r="C1036" t="inlineStr">
        <is>
          <t>open</t>
        </is>
      </c>
      <c r="D1036" t="n">
        <v>27.1</v>
      </c>
      <c r="E1036">
        <f>ROUNDUP(D1036, 0)</f>
        <v/>
      </c>
      <c r="F1036">
        <f>IF(LOWER(C1036)="covered", 10.40, 7.55)</f>
        <v/>
      </c>
      <c r="G1036">
        <f>E1036*F1036</f>
        <v/>
      </c>
      <c r="H1036" t="n">
        <v>0</v>
      </c>
      <c r="I1036">
        <f>G1036-H1036</f>
        <v/>
      </c>
    </row>
    <row r="1037">
      <c r="A1037" t="inlineStr">
        <is>
          <t>SB-0710</t>
        </is>
      </c>
      <c r="B1037" t="inlineStr">
        <is>
          <t>Salmonberry</t>
        </is>
      </c>
      <c r="C1037" t="inlineStr">
        <is>
          <t>open</t>
        </is>
      </c>
      <c r="D1037" t="n">
        <v>36.7</v>
      </c>
      <c r="E1037">
        <f>ROUNDUP(D1037, 0)</f>
        <v/>
      </c>
      <c r="F1037">
        <f>IF(LOWER(C1037)="covered", 10.40, 7.55)</f>
        <v/>
      </c>
      <c r="G1037">
        <f>E1037*F1037</f>
        <v/>
      </c>
      <c r="H1037" t="n">
        <v>0</v>
      </c>
      <c r="I1037">
        <f>G1037-H1037</f>
        <v/>
      </c>
    </row>
    <row r="1038">
      <c r="A1038" t="inlineStr">
        <is>
          <t>SB-0711</t>
        </is>
      </c>
      <c r="B1038" t="inlineStr">
        <is>
          <t>Salmonberry</t>
        </is>
      </c>
      <c r="C1038" t="inlineStr">
        <is>
          <t>open</t>
        </is>
      </c>
      <c r="D1038" t="n">
        <v>49.2</v>
      </c>
      <c r="E1038">
        <f>ROUNDUP(D1038, 0)</f>
        <v/>
      </c>
      <c r="F1038">
        <f>IF(LOWER(C1038)="covered", 10.40, 7.55)</f>
        <v/>
      </c>
      <c r="G1038">
        <f>E1038*F1038</f>
        <v/>
      </c>
      <c r="H1038" t="n">
        <v>0</v>
      </c>
      <c r="I1038">
        <f>G1038-H1038</f>
        <v/>
      </c>
    </row>
    <row r="1039">
      <c r="A1039" t="inlineStr">
        <is>
          <t>SB-0712</t>
        </is>
      </c>
      <c r="B1039" t="inlineStr">
        <is>
          <t>Salmonberry</t>
        </is>
      </c>
      <c r="C1039" t="inlineStr">
        <is>
          <t>open</t>
        </is>
      </c>
      <c r="D1039" t="n">
        <v>20.5</v>
      </c>
      <c r="E1039">
        <f>ROUNDUP(D1039, 0)</f>
        <v/>
      </c>
      <c r="F1039">
        <f>IF(LOWER(C1039)="covered", 10.40, 7.55)</f>
        <v/>
      </c>
      <c r="G1039">
        <f>E1039*F1039</f>
        <v/>
      </c>
      <c r="H1039" t="n">
        <v>0</v>
      </c>
      <c r="I1039">
        <f>G1039-H1039</f>
        <v/>
      </c>
    </row>
    <row r="1040">
      <c r="A1040" t="inlineStr">
        <is>
          <t>SB-0713</t>
        </is>
      </c>
      <c r="B1040" t="inlineStr">
        <is>
          <t>Salmonberry</t>
        </is>
      </c>
      <c r="C1040" t="inlineStr">
        <is>
          <t>open</t>
        </is>
      </c>
      <c r="D1040" t="n">
        <v>42</v>
      </c>
      <c r="E1040">
        <f>ROUNDUP(D1040, 0)</f>
        <v/>
      </c>
      <c r="F1040">
        <f>IF(LOWER(C1040)="covered", 10.40, 7.55)</f>
        <v/>
      </c>
      <c r="G1040">
        <f>E1040*F1040</f>
        <v/>
      </c>
      <c r="H1040" t="n">
        <v>0</v>
      </c>
      <c r="I1040">
        <f>G1040-H1040</f>
        <v/>
      </c>
    </row>
    <row r="1041">
      <c r="A1041" t="inlineStr">
        <is>
          <t>SB-0714</t>
        </is>
      </c>
      <c r="B1041" t="inlineStr">
        <is>
          <t>Salmonberry</t>
        </is>
      </c>
      <c r="C1041" t="inlineStr">
        <is>
          <t>open</t>
        </is>
      </c>
      <c r="D1041" t="n">
        <v>24.4</v>
      </c>
      <c r="E1041">
        <f>ROUNDUP(D1041, 0)</f>
        <v/>
      </c>
      <c r="F1041">
        <f>IF(LOWER(C1041)="covered", 10.40, 7.55)</f>
        <v/>
      </c>
      <c r="G1041">
        <f>E1041*F1041</f>
        <v/>
      </c>
      <c r="H1041" t="n">
        <v>0</v>
      </c>
      <c r="I1041">
        <f>G1041-H1041</f>
        <v/>
      </c>
    </row>
    <row r="1042">
      <c r="A1042" t="inlineStr">
        <is>
          <t>SB-0715</t>
        </is>
      </c>
      <c r="B1042" t="inlineStr">
        <is>
          <t>Salmonberry</t>
        </is>
      </c>
      <c r="C1042" t="inlineStr">
        <is>
          <t>open</t>
        </is>
      </c>
      <c r="D1042" t="n">
        <v>56.7</v>
      </c>
      <c r="E1042">
        <f>ROUNDUP(D1042, 0)</f>
        <v/>
      </c>
      <c r="F1042">
        <f>IF(LOWER(C1042)="covered", 10.40, 7.55)</f>
        <v/>
      </c>
      <c r="G1042">
        <f>E1042*F1042</f>
        <v/>
      </c>
      <c r="H1042" t="n">
        <v>0</v>
      </c>
      <c r="I1042">
        <f>G1042-H1042</f>
        <v/>
      </c>
    </row>
    <row r="1043">
      <c r="A1043" t="inlineStr">
        <is>
          <t>SB-0716</t>
        </is>
      </c>
      <c r="B1043" t="inlineStr">
        <is>
          <t>Salmonberry</t>
        </is>
      </c>
      <c r="C1043" t="inlineStr">
        <is>
          <t>open</t>
        </is>
      </c>
      <c r="D1043" t="n">
        <v>61.6</v>
      </c>
      <c r="E1043">
        <f>ROUNDUP(D1043, 0)</f>
        <v/>
      </c>
      <c r="F1043">
        <f>IF(LOWER(C1043)="covered", 10.40, 7.55)</f>
        <v/>
      </c>
      <c r="G1043">
        <f>E1043*F1043</f>
        <v/>
      </c>
      <c r="H1043" t="n">
        <v>0</v>
      </c>
      <c r="I1043">
        <f>G1043-H1043</f>
        <v/>
      </c>
    </row>
    <row r="1044">
      <c r="A1044" t="inlineStr">
        <is>
          <t>SB-0717</t>
        </is>
      </c>
      <c r="B1044" t="inlineStr">
        <is>
          <t>Salmonberry</t>
        </is>
      </c>
      <c r="C1044" t="inlineStr">
        <is>
          <t>open</t>
        </is>
      </c>
      <c r="D1044" t="n">
        <v>54.8</v>
      </c>
      <c r="E1044">
        <f>ROUNDUP(D1044, 0)</f>
        <v/>
      </c>
      <c r="F1044">
        <f>IF(LOWER(C1044)="covered", 10.40, 7.55)</f>
        <v/>
      </c>
      <c r="G1044">
        <f>E1044*F1044</f>
        <v/>
      </c>
      <c r="H1044" t="n">
        <v>0</v>
      </c>
      <c r="I1044">
        <f>G1044-H1044</f>
        <v/>
      </c>
    </row>
    <row r="1045">
      <c r="A1045" t="inlineStr">
        <is>
          <t>SB-0718</t>
        </is>
      </c>
      <c r="B1045" t="inlineStr">
        <is>
          <t>Salmonberry</t>
        </is>
      </c>
      <c r="C1045" t="inlineStr">
        <is>
          <t>open</t>
        </is>
      </c>
      <c r="D1045" t="n">
        <v>20.2</v>
      </c>
      <c r="E1045">
        <f>ROUNDUP(D1045, 0)</f>
        <v/>
      </c>
      <c r="F1045">
        <f>IF(LOWER(C1045)="covered", 10.40, 7.55)</f>
        <v/>
      </c>
      <c r="G1045">
        <f>E1045*F1045</f>
        <v/>
      </c>
      <c r="H1045" t="n">
        <v>0</v>
      </c>
      <c r="I1045">
        <f>G1045-H1045</f>
        <v/>
      </c>
    </row>
    <row r="1046">
      <c r="A1046" t="inlineStr">
        <is>
          <t>SB-0719</t>
        </is>
      </c>
      <c r="B1046" t="inlineStr">
        <is>
          <t>Salmonberry</t>
        </is>
      </c>
      <c r="C1046" t="inlineStr">
        <is>
          <t>open</t>
        </is>
      </c>
      <c r="D1046" t="n">
        <v>59</v>
      </c>
      <c r="E1046">
        <f>ROUNDUP(D1046, 0)</f>
        <v/>
      </c>
      <c r="F1046">
        <f>IF(LOWER(C1046)="covered", 10.40, 7.55)</f>
        <v/>
      </c>
      <c r="G1046">
        <f>E1046*F1046</f>
        <v/>
      </c>
      <c r="H1046" t="n">
        <v>0</v>
      </c>
      <c r="I1046">
        <f>G1046-H1046</f>
        <v/>
      </c>
    </row>
    <row r="1047">
      <c r="A1047" t="inlineStr">
        <is>
          <t>SB-0720</t>
        </is>
      </c>
      <c r="B1047" t="inlineStr">
        <is>
          <t>Salmonberry</t>
        </is>
      </c>
      <c r="C1047" t="inlineStr">
        <is>
          <t>open</t>
        </is>
      </c>
      <c r="D1047" t="n">
        <v>31.5</v>
      </c>
      <c r="E1047">
        <f>ROUNDUP(D1047, 0)</f>
        <v/>
      </c>
      <c r="F1047">
        <f>IF(LOWER(C1047)="covered", 10.40, 7.55)</f>
        <v/>
      </c>
      <c r="G1047">
        <f>E1047*F1047</f>
        <v/>
      </c>
      <c r="H1047" t="n">
        <v>0</v>
      </c>
      <c r="I1047">
        <f>G1047-H1047</f>
        <v/>
      </c>
    </row>
    <row r="1048">
      <c r="A1048" t="inlineStr">
        <is>
          <t>SB-0721</t>
        </is>
      </c>
      <c r="B1048" t="inlineStr">
        <is>
          <t>Salmonberry</t>
        </is>
      </c>
      <c r="C1048" t="inlineStr">
        <is>
          <t>open</t>
        </is>
      </c>
      <c r="D1048" t="n">
        <v>29.7</v>
      </c>
      <c r="E1048">
        <f>ROUNDUP(D1048, 0)</f>
        <v/>
      </c>
      <c r="F1048">
        <f>IF(LOWER(C1048)="covered", 10.40, 7.55)</f>
        <v/>
      </c>
      <c r="G1048">
        <f>E1048*F1048</f>
        <v/>
      </c>
      <c r="H1048" t="n">
        <v>0</v>
      </c>
      <c r="I1048">
        <f>G1048-H1048</f>
        <v/>
      </c>
    </row>
    <row r="1049">
      <c r="A1049" t="inlineStr">
        <is>
          <t>SB-0722</t>
        </is>
      </c>
      <c r="B1049" t="inlineStr">
        <is>
          <t>Salmonberry</t>
        </is>
      </c>
      <c r="C1049" t="inlineStr">
        <is>
          <t>open</t>
        </is>
      </c>
      <c r="D1049" t="n">
        <v>54</v>
      </c>
      <c r="E1049">
        <f>ROUNDUP(D1049, 0)</f>
        <v/>
      </c>
      <c r="F1049">
        <f>IF(LOWER(C1049)="covered", 10.40, 7.55)</f>
        <v/>
      </c>
      <c r="G1049">
        <f>E1049*F1049</f>
        <v/>
      </c>
      <c r="H1049" t="n">
        <v>0</v>
      </c>
      <c r="I1049">
        <f>G1049-H1049</f>
        <v/>
      </c>
    </row>
    <row r="1050">
      <c r="A1050" t="inlineStr">
        <is>
          <t>SB-0723</t>
        </is>
      </c>
      <c r="B1050" t="inlineStr">
        <is>
          <t>Salmonberry</t>
        </is>
      </c>
      <c r="C1050" t="inlineStr">
        <is>
          <t>open</t>
        </is>
      </c>
      <c r="D1050" t="n">
        <v>40.1</v>
      </c>
      <c r="E1050">
        <f>ROUNDUP(D1050, 0)</f>
        <v/>
      </c>
      <c r="F1050">
        <f>IF(LOWER(C1050)="covered", 10.40, 7.55)</f>
        <v/>
      </c>
      <c r="G1050">
        <f>E1050*F1050</f>
        <v/>
      </c>
      <c r="H1050" t="n">
        <v>0</v>
      </c>
      <c r="I1050">
        <f>G1050-H1050</f>
        <v/>
      </c>
    </row>
    <row r="1051">
      <c r="A1051" t="inlineStr">
        <is>
          <t>SB-0724</t>
        </is>
      </c>
      <c r="B1051" t="inlineStr">
        <is>
          <t>Salmonberry</t>
        </is>
      </c>
      <c r="C1051" t="inlineStr">
        <is>
          <t>open</t>
        </is>
      </c>
      <c r="D1051" t="n">
        <v>58.8</v>
      </c>
      <c r="E1051">
        <f>ROUNDUP(D1051, 0)</f>
        <v/>
      </c>
      <c r="F1051">
        <f>IF(LOWER(C1051)="covered", 10.40, 7.55)</f>
        <v/>
      </c>
      <c r="G1051">
        <f>E1051*F1051</f>
        <v/>
      </c>
      <c r="H1051" t="n">
        <v>0</v>
      </c>
      <c r="I1051">
        <f>G1051-H1051</f>
        <v/>
      </c>
    </row>
    <row r="1052">
      <c r="A1052" t="inlineStr">
        <is>
          <t>SB-0801</t>
        </is>
      </c>
      <c r="B1052" t="inlineStr">
        <is>
          <t>Salmonberry</t>
        </is>
      </c>
      <c r="C1052" t="inlineStr">
        <is>
          <t>open</t>
        </is>
      </c>
      <c r="D1052" t="n">
        <v>44.8</v>
      </c>
      <c r="E1052">
        <f>ROUNDUP(D1052, 0)</f>
        <v/>
      </c>
      <c r="F1052">
        <f>IF(LOWER(C1052)="covered", 10.40, 7.55)</f>
        <v/>
      </c>
      <c r="G1052">
        <f>E1052*F1052</f>
        <v/>
      </c>
      <c r="H1052" t="n">
        <v>0</v>
      </c>
      <c r="I1052">
        <f>G1052-H1052</f>
        <v/>
      </c>
    </row>
    <row r="1053">
      <c r="A1053" t="inlineStr">
        <is>
          <t>SB-0802</t>
        </is>
      </c>
      <c r="B1053" t="inlineStr">
        <is>
          <t>Salmonberry</t>
        </is>
      </c>
      <c r="C1053" t="inlineStr">
        <is>
          <t>open</t>
        </is>
      </c>
      <c r="D1053" t="n">
        <v>34.3</v>
      </c>
      <c r="E1053">
        <f>ROUNDUP(D1053, 0)</f>
        <v/>
      </c>
      <c r="F1053">
        <f>IF(LOWER(C1053)="covered", 10.40, 7.55)</f>
        <v/>
      </c>
      <c r="G1053">
        <f>E1053*F1053</f>
        <v/>
      </c>
      <c r="H1053" t="n">
        <v>0</v>
      </c>
      <c r="I1053">
        <f>G1053-H1053</f>
        <v/>
      </c>
    </row>
    <row r="1054">
      <c r="A1054" t="inlineStr">
        <is>
          <t>SB-0803</t>
        </is>
      </c>
      <c r="B1054" t="inlineStr">
        <is>
          <t>Salmonberry</t>
        </is>
      </c>
      <c r="C1054" t="inlineStr">
        <is>
          <t>open</t>
        </is>
      </c>
      <c r="D1054" t="n">
        <v>57</v>
      </c>
      <c r="E1054">
        <f>ROUNDUP(D1054, 0)</f>
        <v/>
      </c>
      <c r="F1054">
        <f>IF(LOWER(C1054)="covered", 10.40, 7.55)</f>
        <v/>
      </c>
      <c r="G1054">
        <f>E1054*F1054</f>
        <v/>
      </c>
      <c r="H1054" t="n">
        <v>0</v>
      </c>
      <c r="I1054">
        <f>G1054-H1054</f>
        <v/>
      </c>
    </row>
    <row r="1055">
      <c r="A1055" t="inlineStr">
        <is>
          <t>SB-0804</t>
        </is>
      </c>
      <c r="B1055" t="inlineStr">
        <is>
          <t>Salmonberry</t>
        </is>
      </c>
      <c r="C1055" t="inlineStr">
        <is>
          <t>open</t>
        </is>
      </c>
      <c r="D1055" t="n">
        <v>44.8</v>
      </c>
      <c r="E1055">
        <f>ROUNDUP(D1055, 0)</f>
        <v/>
      </c>
      <c r="F1055">
        <f>IF(LOWER(C1055)="covered", 10.40, 7.55)</f>
        <v/>
      </c>
      <c r="G1055">
        <f>E1055*F1055</f>
        <v/>
      </c>
      <c r="H1055" t="n">
        <v>0</v>
      </c>
      <c r="I1055">
        <f>G1055-H1055</f>
        <v/>
      </c>
    </row>
    <row r="1056">
      <c r="A1056" t="inlineStr">
        <is>
          <t>SB-0805</t>
        </is>
      </c>
      <c r="B1056" t="inlineStr">
        <is>
          <t>Salmonberry</t>
        </is>
      </c>
      <c r="C1056" t="inlineStr">
        <is>
          <t>open</t>
        </is>
      </c>
      <c r="D1056" t="n">
        <v>21.9</v>
      </c>
      <c r="E1056">
        <f>ROUNDUP(D1056, 0)</f>
        <v/>
      </c>
      <c r="F1056">
        <f>IF(LOWER(C1056)="covered", 10.40, 7.55)</f>
        <v/>
      </c>
      <c r="G1056">
        <f>E1056*F1056</f>
        <v/>
      </c>
      <c r="H1056" t="n">
        <v>0</v>
      </c>
      <c r="I1056">
        <f>G1056-H1056</f>
        <v/>
      </c>
    </row>
    <row r="1057">
      <c r="A1057" t="inlineStr">
        <is>
          <t>SB-0806</t>
        </is>
      </c>
      <c r="B1057" t="inlineStr">
        <is>
          <t>Salmonberry</t>
        </is>
      </c>
      <c r="C1057" t="inlineStr">
        <is>
          <t>open</t>
        </is>
      </c>
      <c r="D1057" t="n">
        <v>61.1</v>
      </c>
      <c r="E1057">
        <f>ROUNDUP(D1057, 0)</f>
        <v/>
      </c>
      <c r="F1057">
        <f>IF(LOWER(C1057)="covered", 10.40, 7.55)</f>
        <v/>
      </c>
      <c r="G1057">
        <f>E1057*F1057</f>
        <v/>
      </c>
      <c r="H1057" t="n">
        <v>0</v>
      </c>
      <c r="I1057">
        <f>G1057-H1057</f>
        <v/>
      </c>
    </row>
    <row r="1058">
      <c r="A1058" t="inlineStr">
        <is>
          <t>SB-0808</t>
        </is>
      </c>
      <c r="B1058" t="inlineStr">
        <is>
          <t>Salmonberry</t>
        </is>
      </c>
      <c r="C1058" t="inlineStr">
        <is>
          <t>open</t>
        </is>
      </c>
      <c r="D1058" t="n">
        <v>22.2</v>
      </c>
      <c r="E1058">
        <f>ROUNDUP(D1058, 0)</f>
        <v/>
      </c>
      <c r="F1058">
        <f>IF(LOWER(C1058)="covered", 10.40, 7.55)</f>
        <v/>
      </c>
      <c r="G1058">
        <f>E1058*F1058</f>
        <v/>
      </c>
      <c r="H1058" t="n">
        <v>0</v>
      </c>
      <c r="I1058">
        <f>G1058-H1058</f>
        <v/>
      </c>
    </row>
    <row r="1059">
      <c r="A1059" t="inlineStr">
        <is>
          <t>SB-0809</t>
        </is>
      </c>
      <c r="B1059" t="inlineStr">
        <is>
          <t>Salmonberry</t>
        </is>
      </c>
      <c r="C1059" t="inlineStr">
        <is>
          <t>open</t>
        </is>
      </c>
      <c r="D1059" t="n">
        <v>21.2</v>
      </c>
      <c r="E1059">
        <f>ROUNDUP(D1059, 0)</f>
        <v/>
      </c>
      <c r="F1059">
        <f>IF(LOWER(C1059)="covered", 10.40, 7.55)</f>
        <v/>
      </c>
      <c r="G1059">
        <f>E1059*F1059</f>
        <v/>
      </c>
      <c r="H1059" t="n">
        <v>0</v>
      </c>
      <c r="I1059">
        <f>G1059-H1059</f>
        <v/>
      </c>
    </row>
    <row r="1060">
      <c r="A1060" t="inlineStr">
        <is>
          <t>SB-0810</t>
        </is>
      </c>
      <c r="B1060" t="inlineStr">
        <is>
          <t>Salmonberry</t>
        </is>
      </c>
      <c r="C1060" t="inlineStr">
        <is>
          <t>open</t>
        </is>
      </c>
      <c r="D1060" t="n">
        <v>34.1</v>
      </c>
      <c r="E1060">
        <f>ROUNDUP(D1060, 0)</f>
        <v/>
      </c>
      <c r="F1060">
        <f>IF(LOWER(C1060)="covered", 10.40, 7.55)</f>
        <v/>
      </c>
      <c r="G1060">
        <f>E1060*F1060</f>
        <v/>
      </c>
      <c r="H1060" t="n">
        <v>0</v>
      </c>
      <c r="I1060">
        <f>G1060-H1060</f>
        <v/>
      </c>
    </row>
    <row r="1061">
      <c r="A1061" t="inlineStr">
        <is>
          <t>SB-0812</t>
        </is>
      </c>
      <c r="B1061" t="inlineStr">
        <is>
          <t>Salmonberry</t>
        </is>
      </c>
      <c r="C1061" t="inlineStr">
        <is>
          <t>open</t>
        </is>
      </c>
      <c r="D1061" t="n">
        <v>22.1</v>
      </c>
      <c r="E1061">
        <f>ROUNDUP(D1061, 0)</f>
        <v/>
      </c>
      <c r="F1061">
        <f>IF(LOWER(C1061)="covered", 10.40, 7.55)</f>
        <v/>
      </c>
      <c r="G1061">
        <f>E1061*F1061</f>
        <v/>
      </c>
      <c r="H1061" t="n">
        <v>0</v>
      </c>
      <c r="I1061">
        <f>G1061-H1061</f>
        <v/>
      </c>
    </row>
    <row r="1062">
      <c r="A1062" t="inlineStr">
        <is>
          <t>SB-0813</t>
        </is>
      </c>
      <c r="B1062" t="inlineStr">
        <is>
          <t>Salmonberry</t>
        </is>
      </c>
      <c r="C1062" t="inlineStr">
        <is>
          <t>open</t>
        </is>
      </c>
      <c r="D1062" t="n">
        <v>24.6</v>
      </c>
      <c r="E1062">
        <f>ROUNDUP(D1062, 0)</f>
        <v/>
      </c>
      <c r="F1062">
        <f>IF(LOWER(C1062)="covered", 10.40, 7.55)</f>
        <v/>
      </c>
      <c r="G1062">
        <f>E1062*F1062</f>
        <v/>
      </c>
      <c r="H1062" t="n">
        <v>0</v>
      </c>
      <c r="I1062">
        <f>G1062-H1062</f>
        <v/>
      </c>
    </row>
    <row r="1063">
      <c r="A1063" t="inlineStr">
        <is>
          <t>SB-0814</t>
        </is>
      </c>
      <c r="B1063" t="inlineStr">
        <is>
          <t>Salmonberry</t>
        </is>
      </c>
      <c r="C1063" t="inlineStr">
        <is>
          <t>open</t>
        </is>
      </c>
      <c r="D1063" t="n">
        <v>52.3</v>
      </c>
      <c r="E1063">
        <f>ROUNDUP(D1063, 0)</f>
        <v/>
      </c>
      <c r="F1063">
        <f>IF(LOWER(C1063)="covered", 10.40, 7.55)</f>
        <v/>
      </c>
      <c r="G1063">
        <f>E1063*F1063</f>
        <v/>
      </c>
      <c r="H1063" t="n">
        <v>0</v>
      </c>
      <c r="I1063">
        <f>G1063-H1063</f>
        <v/>
      </c>
    </row>
    <row r="1064">
      <c r="A1064" t="inlineStr">
        <is>
          <t>SB-0815</t>
        </is>
      </c>
      <c r="B1064" t="inlineStr">
        <is>
          <t>Salmonberry</t>
        </is>
      </c>
      <c r="C1064" t="inlineStr">
        <is>
          <t>open</t>
        </is>
      </c>
      <c r="D1064" t="n">
        <v>25.9</v>
      </c>
      <c r="E1064">
        <f>ROUNDUP(D1064, 0)</f>
        <v/>
      </c>
      <c r="F1064">
        <f>IF(LOWER(C1064)="covered", 10.40, 7.55)</f>
        <v/>
      </c>
      <c r="G1064">
        <f>E1064*F1064</f>
        <v/>
      </c>
      <c r="H1064" t="n">
        <v>0</v>
      </c>
      <c r="I1064">
        <f>G1064-H1064</f>
        <v/>
      </c>
    </row>
    <row r="1065">
      <c r="A1065" t="inlineStr">
        <is>
          <t>SB-0816</t>
        </is>
      </c>
      <c r="B1065" t="inlineStr">
        <is>
          <t>Salmonberry</t>
        </is>
      </c>
      <c r="C1065" t="inlineStr">
        <is>
          <t>open</t>
        </is>
      </c>
      <c r="D1065" t="n">
        <v>46.5</v>
      </c>
      <c r="E1065">
        <f>ROUNDUP(D1065, 0)</f>
        <v/>
      </c>
      <c r="F1065">
        <f>IF(LOWER(C1065)="covered", 10.40, 7.55)</f>
        <v/>
      </c>
      <c r="G1065">
        <f>E1065*F1065</f>
        <v/>
      </c>
      <c r="H1065" t="n">
        <v>0</v>
      </c>
      <c r="I1065">
        <f>G1065-H1065</f>
        <v/>
      </c>
    </row>
    <row r="1066">
      <c r="A1066" t="inlineStr">
        <is>
          <t>SB-0818</t>
        </is>
      </c>
      <c r="B1066" t="inlineStr">
        <is>
          <t>Salmonberry</t>
        </is>
      </c>
      <c r="C1066" t="inlineStr">
        <is>
          <t>open</t>
        </is>
      </c>
      <c r="D1066" t="n">
        <v>28</v>
      </c>
      <c r="E1066">
        <f>ROUNDUP(D1066, 0)</f>
        <v/>
      </c>
      <c r="F1066">
        <f>IF(LOWER(C1066)="covered", 10.40, 7.55)</f>
        <v/>
      </c>
      <c r="G1066">
        <f>E1066*F1066</f>
        <v/>
      </c>
      <c r="H1066" t="n">
        <v>0</v>
      </c>
      <c r="I1066">
        <f>G1066-H1066</f>
        <v/>
      </c>
    </row>
    <row r="1067">
      <c r="A1067" t="inlineStr">
        <is>
          <t>SB-0819</t>
        </is>
      </c>
      <c r="B1067" t="inlineStr">
        <is>
          <t>Salmonberry</t>
        </is>
      </c>
      <c r="C1067" t="inlineStr">
        <is>
          <t>open</t>
        </is>
      </c>
      <c r="D1067" t="n">
        <v>25.9</v>
      </c>
      <c r="E1067">
        <f>ROUNDUP(D1067, 0)</f>
        <v/>
      </c>
      <c r="F1067">
        <f>IF(LOWER(C1067)="covered", 10.40, 7.55)</f>
        <v/>
      </c>
      <c r="G1067">
        <f>E1067*F1067</f>
        <v/>
      </c>
      <c r="H1067" t="n">
        <v>0</v>
      </c>
      <c r="I1067">
        <f>G1067-H1067</f>
        <v/>
      </c>
    </row>
    <row r="1068">
      <c r="A1068" t="inlineStr">
        <is>
          <t>SB-0820</t>
        </is>
      </c>
      <c r="B1068" t="inlineStr">
        <is>
          <t>Salmonberry</t>
        </is>
      </c>
      <c r="C1068" t="inlineStr">
        <is>
          <t>open</t>
        </is>
      </c>
      <c r="D1068" t="n">
        <v>47.3</v>
      </c>
      <c r="E1068">
        <f>ROUNDUP(D1068, 0)</f>
        <v/>
      </c>
      <c r="F1068">
        <f>IF(LOWER(C1068)="covered", 10.40, 7.55)</f>
        <v/>
      </c>
      <c r="G1068">
        <f>E1068*F1068</f>
        <v/>
      </c>
      <c r="H1068" t="n">
        <v>0</v>
      </c>
      <c r="I1068">
        <f>G1068-H1068</f>
        <v/>
      </c>
    </row>
    <row r="1069">
      <c r="A1069" t="inlineStr">
        <is>
          <t>SB-0821</t>
        </is>
      </c>
      <c r="B1069" t="inlineStr">
        <is>
          <t>Salmonberry</t>
        </is>
      </c>
      <c r="C1069" t="inlineStr">
        <is>
          <t>open</t>
        </is>
      </c>
      <c r="D1069" t="n">
        <v>26.8</v>
      </c>
      <c r="E1069">
        <f>ROUNDUP(D1069, 0)</f>
        <v/>
      </c>
      <c r="F1069">
        <f>IF(LOWER(C1069)="covered", 10.40, 7.55)</f>
        <v/>
      </c>
      <c r="G1069">
        <f>E1069*F1069</f>
        <v/>
      </c>
      <c r="H1069" t="n">
        <v>0</v>
      </c>
      <c r="I1069">
        <f>G1069-H1069</f>
        <v/>
      </c>
    </row>
    <row r="1070">
      <c r="A1070" t="inlineStr">
        <is>
          <t>SB-0822</t>
        </is>
      </c>
      <c r="B1070" t="inlineStr">
        <is>
          <t>Salmonberry</t>
        </is>
      </c>
      <c r="C1070" t="inlineStr">
        <is>
          <t>open</t>
        </is>
      </c>
      <c r="D1070" t="n">
        <v>34.6</v>
      </c>
      <c r="E1070">
        <f>ROUNDUP(D1070, 0)</f>
        <v/>
      </c>
      <c r="F1070">
        <f>IF(LOWER(C1070)="covered", 10.40, 7.55)</f>
        <v/>
      </c>
      <c r="G1070">
        <f>E1070*F1070</f>
        <v/>
      </c>
      <c r="H1070" t="n">
        <v>0</v>
      </c>
      <c r="I1070">
        <f>G1070-H1070</f>
        <v/>
      </c>
    </row>
    <row r="1071">
      <c r="A1071" t="inlineStr">
        <is>
          <t>SB-0824</t>
        </is>
      </c>
      <c r="B1071" t="inlineStr">
        <is>
          <t>Salmonberry</t>
        </is>
      </c>
      <c r="C1071" t="inlineStr">
        <is>
          <t>open</t>
        </is>
      </c>
      <c r="D1071" t="n">
        <v>43.8</v>
      </c>
      <c r="E1071">
        <f>ROUNDUP(D1071, 0)</f>
        <v/>
      </c>
      <c r="F1071">
        <f>IF(LOWER(C1071)="covered", 10.40, 7.55)</f>
        <v/>
      </c>
      <c r="G1071">
        <f>E1071*F1071</f>
        <v/>
      </c>
      <c r="H1071" t="n">
        <v>0</v>
      </c>
      <c r="I1071">
        <f>G1071-H1071</f>
        <v/>
      </c>
    </row>
    <row r="1072">
      <c r="A1072" t="inlineStr">
        <is>
          <t>SB-0901</t>
        </is>
      </c>
      <c r="B1072" t="inlineStr">
        <is>
          <t>Salmonberry</t>
        </is>
      </c>
      <c r="C1072" t="inlineStr">
        <is>
          <t>open</t>
        </is>
      </c>
      <c r="D1072" t="n">
        <v>44.7</v>
      </c>
      <c r="E1072">
        <f>ROUNDUP(D1072, 0)</f>
        <v/>
      </c>
      <c r="F1072">
        <f>IF(LOWER(C1072)="covered", 10.40, 7.55)</f>
        <v/>
      </c>
      <c r="G1072">
        <f>E1072*F1072</f>
        <v/>
      </c>
      <c r="H1072" t="n">
        <v>0</v>
      </c>
      <c r="I1072">
        <f>G1072-H1072</f>
        <v/>
      </c>
    </row>
    <row r="1073">
      <c r="A1073" t="inlineStr">
        <is>
          <t>SB-0903</t>
        </is>
      </c>
      <c r="B1073" t="inlineStr">
        <is>
          <t>Salmonberry</t>
        </is>
      </c>
      <c r="C1073" t="inlineStr">
        <is>
          <t>open</t>
        </is>
      </c>
      <c r="D1073" t="n">
        <v>31.9</v>
      </c>
      <c r="E1073">
        <f>ROUNDUP(D1073, 0)</f>
        <v/>
      </c>
      <c r="F1073">
        <f>IF(LOWER(C1073)="covered", 10.40, 7.55)</f>
        <v/>
      </c>
      <c r="G1073">
        <f>E1073*F1073</f>
        <v/>
      </c>
      <c r="H1073" t="n">
        <v>0</v>
      </c>
      <c r="I1073">
        <f>G1073-H1073</f>
        <v/>
      </c>
    </row>
    <row r="1074">
      <c r="A1074" t="inlineStr">
        <is>
          <t>SB-0904</t>
        </is>
      </c>
      <c r="B1074" t="inlineStr">
        <is>
          <t>Salmonberry</t>
        </is>
      </c>
      <c r="C1074" t="inlineStr">
        <is>
          <t>open</t>
        </is>
      </c>
      <c r="D1074" t="n">
        <v>59.4</v>
      </c>
      <c r="E1074">
        <f>ROUNDUP(D1074, 0)</f>
        <v/>
      </c>
      <c r="F1074">
        <f>IF(LOWER(C1074)="covered", 10.40, 7.55)</f>
        <v/>
      </c>
      <c r="G1074">
        <f>E1074*F1074</f>
        <v/>
      </c>
      <c r="H1074" t="n">
        <v>0</v>
      </c>
      <c r="I1074">
        <f>G1074-H1074</f>
        <v/>
      </c>
    </row>
    <row r="1075">
      <c r="A1075" t="inlineStr">
        <is>
          <t>SB-0905</t>
        </is>
      </c>
      <c r="B1075" t="inlineStr">
        <is>
          <t>Salmonberry</t>
        </is>
      </c>
      <c r="C1075" t="inlineStr">
        <is>
          <t>open</t>
        </is>
      </c>
      <c r="D1075" t="n">
        <v>42.9</v>
      </c>
      <c r="E1075">
        <f>ROUNDUP(D1075, 0)</f>
        <v/>
      </c>
      <c r="F1075">
        <f>IF(LOWER(C1075)="covered", 10.40, 7.55)</f>
        <v/>
      </c>
      <c r="G1075">
        <f>E1075*F1075</f>
        <v/>
      </c>
      <c r="H1075" t="n">
        <v>0</v>
      </c>
      <c r="I1075">
        <f>G1075-H1075</f>
        <v/>
      </c>
    </row>
    <row r="1076">
      <c r="A1076" t="inlineStr">
        <is>
          <t>SB-0906</t>
        </is>
      </c>
      <c r="B1076" t="inlineStr">
        <is>
          <t>Salmonberry</t>
        </is>
      </c>
      <c r="C1076" t="inlineStr">
        <is>
          <t>open</t>
        </is>
      </c>
      <c r="D1076" t="n">
        <v>44</v>
      </c>
      <c r="E1076">
        <f>ROUNDUP(D1076, 0)</f>
        <v/>
      </c>
      <c r="F1076">
        <f>IF(LOWER(C1076)="covered", 10.40, 7.55)</f>
        <v/>
      </c>
      <c r="G1076">
        <f>E1076*F1076</f>
        <v/>
      </c>
      <c r="H1076" t="n">
        <v>0</v>
      </c>
      <c r="I1076">
        <f>G1076-H1076</f>
        <v/>
      </c>
    </row>
    <row r="1077">
      <c r="A1077" t="inlineStr">
        <is>
          <t>SB-0908</t>
        </is>
      </c>
      <c r="B1077" t="inlineStr">
        <is>
          <t>Salmonberry</t>
        </is>
      </c>
      <c r="C1077" t="inlineStr">
        <is>
          <t>open</t>
        </is>
      </c>
      <c r="D1077" t="n">
        <v>53.6</v>
      </c>
      <c r="E1077">
        <f>ROUNDUP(D1077, 0)</f>
        <v/>
      </c>
      <c r="F1077">
        <f>IF(LOWER(C1077)="covered", 10.40, 7.55)</f>
        <v/>
      </c>
      <c r="G1077">
        <f>E1077*F1077</f>
        <v/>
      </c>
      <c r="H1077" t="n">
        <v>0</v>
      </c>
      <c r="I1077">
        <f>G1077-H1077</f>
        <v/>
      </c>
    </row>
    <row r="1078">
      <c r="A1078" t="inlineStr">
        <is>
          <t>SB-0909</t>
        </is>
      </c>
      <c r="B1078" t="inlineStr">
        <is>
          <t>Salmonberry</t>
        </is>
      </c>
      <c r="C1078" t="inlineStr">
        <is>
          <t>open</t>
        </is>
      </c>
      <c r="D1078" t="n">
        <v>52.9</v>
      </c>
      <c r="E1078">
        <f>ROUNDUP(D1078, 0)</f>
        <v/>
      </c>
      <c r="F1078">
        <f>IF(LOWER(C1078)="covered", 10.40, 7.55)</f>
        <v/>
      </c>
      <c r="G1078">
        <f>E1078*F1078</f>
        <v/>
      </c>
      <c r="H1078" t="n">
        <v>0</v>
      </c>
      <c r="I1078">
        <f>G1078-H1078</f>
        <v/>
      </c>
    </row>
    <row r="1079">
      <c r="A1079" t="inlineStr">
        <is>
          <t>SB-0910</t>
        </is>
      </c>
      <c r="B1079" t="inlineStr">
        <is>
          <t>Salmonberry</t>
        </is>
      </c>
      <c r="C1079" t="inlineStr">
        <is>
          <t>open</t>
        </is>
      </c>
      <c r="D1079" t="n">
        <v>61.1</v>
      </c>
      <c r="E1079">
        <f>ROUNDUP(D1079, 0)</f>
        <v/>
      </c>
      <c r="F1079">
        <f>IF(LOWER(C1079)="covered", 10.40, 7.55)</f>
        <v/>
      </c>
      <c r="G1079">
        <f>E1079*F1079</f>
        <v/>
      </c>
      <c r="H1079" t="n">
        <v>0</v>
      </c>
      <c r="I1079">
        <f>G1079-H1079</f>
        <v/>
      </c>
    </row>
    <row r="1080">
      <c r="A1080" t="inlineStr">
        <is>
          <t>SB-0911</t>
        </is>
      </c>
      <c r="B1080" t="inlineStr">
        <is>
          <t>Salmonberry</t>
        </is>
      </c>
      <c r="C1080" t="inlineStr">
        <is>
          <t>open</t>
        </is>
      </c>
      <c r="D1080" t="n">
        <v>52.6</v>
      </c>
      <c r="E1080">
        <f>ROUNDUP(D1080, 0)</f>
        <v/>
      </c>
      <c r="F1080">
        <f>IF(LOWER(C1080)="covered", 10.40, 7.55)</f>
        <v/>
      </c>
      <c r="G1080">
        <f>E1080*F1080</f>
        <v/>
      </c>
      <c r="H1080" t="n">
        <v>0</v>
      </c>
      <c r="I1080">
        <f>G1080-H1080</f>
        <v/>
      </c>
    </row>
    <row r="1081">
      <c r="A1081" t="inlineStr">
        <is>
          <t>SB-0912</t>
        </is>
      </c>
      <c r="B1081" t="inlineStr">
        <is>
          <t>Salmonberry</t>
        </is>
      </c>
      <c r="C1081" t="inlineStr">
        <is>
          <t>open</t>
        </is>
      </c>
      <c r="D1081" t="n">
        <v>58.2</v>
      </c>
      <c r="E1081">
        <f>ROUNDUP(D1081, 0)</f>
        <v/>
      </c>
      <c r="F1081">
        <f>IF(LOWER(C1081)="covered", 10.40, 7.55)</f>
        <v/>
      </c>
      <c r="G1081">
        <f>E1081*F1081</f>
        <v/>
      </c>
      <c r="H1081" t="n">
        <v>0</v>
      </c>
      <c r="I1081">
        <f>G1081-H1081</f>
        <v/>
      </c>
    </row>
    <row r="1082">
      <c r="A1082" t="inlineStr">
        <is>
          <t>SB-0913</t>
        </is>
      </c>
      <c r="B1082" t="inlineStr">
        <is>
          <t>Salmonberry</t>
        </is>
      </c>
      <c r="C1082" t="inlineStr">
        <is>
          <t>open</t>
        </is>
      </c>
      <c r="D1082" t="n">
        <v>57.3</v>
      </c>
      <c r="E1082">
        <f>ROUNDUP(D1082, 0)</f>
        <v/>
      </c>
      <c r="F1082">
        <f>IF(LOWER(C1082)="covered", 10.40, 7.55)</f>
        <v/>
      </c>
      <c r="G1082">
        <f>E1082*F1082</f>
        <v/>
      </c>
      <c r="H1082" t="n">
        <v>0</v>
      </c>
      <c r="I1082">
        <f>G1082-H1082</f>
        <v/>
      </c>
    </row>
    <row r="1083">
      <c r="A1083" t="inlineStr">
        <is>
          <t>SB-0914</t>
        </is>
      </c>
      <c r="B1083" t="inlineStr">
        <is>
          <t>Salmonberry</t>
        </is>
      </c>
      <c r="C1083" t="inlineStr">
        <is>
          <t>open</t>
        </is>
      </c>
      <c r="D1083" t="n">
        <v>27.7</v>
      </c>
      <c r="E1083">
        <f>ROUNDUP(D1083, 0)</f>
        <v/>
      </c>
      <c r="F1083">
        <f>IF(LOWER(C1083)="covered", 10.40, 7.55)</f>
        <v/>
      </c>
      <c r="G1083">
        <f>E1083*F1083</f>
        <v/>
      </c>
      <c r="H1083" t="n">
        <v>0</v>
      </c>
      <c r="I1083">
        <f>G1083-H1083</f>
        <v/>
      </c>
    </row>
    <row r="1084">
      <c r="A1084" t="inlineStr">
        <is>
          <t>SB-0915</t>
        </is>
      </c>
      <c r="B1084" t="inlineStr">
        <is>
          <t>Salmonberry</t>
        </is>
      </c>
      <c r="C1084" t="inlineStr">
        <is>
          <t>open</t>
        </is>
      </c>
      <c r="D1084" t="n">
        <v>58.9</v>
      </c>
      <c r="E1084">
        <f>ROUNDUP(D1084, 0)</f>
        <v/>
      </c>
      <c r="F1084">
        <f>IF(LOWER(C1084)="covered", 10.40, 7.55)</f>
        <v/>
      </c>
      <c r="G1084">
        <f>E1084*F1084</f>
        <v/>
      </c>
      <c r="H1084" t="n">
        <v>0</v>
      </c>
      <c r="I1084">
        <f>G1084-H1084</f>
        <v/>
      </c>
    </row>
    <row r="1085">
      <c r="A1085" t="inlineStr">
        <is>
          <t>SB-0916</t>
        </is>
      </c>
      <c r="B1085" t="inlineStr">
        <is>
          <t>Salmonberry</t>
        </is>
      </c>
      <c r="C1085" t="inlineStr">
        <is>
          <t>open</t>
        </is>
      </c>
      <c r="D1085" t="n">
        <v>43.1</v>
      </c>
      <c r="E1085">
        <f>ROUNDUP(D1085, 0)</f>
        <v/>
      </c>
      <c r="F1085">
        <f>IF(LOWER(C1085)="covered", 10.40, 7.55)</f>
        <v/>
      </c>
      <c r="G1085">
        <f>E1085*F1085</f>
        <v/>
      </c>
      <c r="H1085" t="n">
        <v>0</v>
      </c>
      <c r="I1085">
        <f>G1085-H1085</f>
        <v/>
      </c>
    </row>
    <row r="1086">
      <c r="A1086" t="inlineStr">
        <is>
          <t>SB-0917</t>
        </is>
      </c>
      <c r="B1086" t="inlineStr">
        <is>
          <t>Salmonberry</t>
        </is>
      </c>
      <c r="C1086" t="inlineStr">
        <is>
          <t>open</t>
        </is>
      </c>
      <c r="D1086" t="n">
        <v>48.2</v>
      </c>
      <c r="E1086">
        <f>ROUNDUP(D1086, 0)</f>
        <v/>
      </c>
      <c r="F1086">
        <f>IF(LOWER(C1086)="covered", 10.40, 7.55)</f>
        <v/>
      </c>
      <c r="G1086">
        <f>E1086*F1086</f>
        <v/>
      </c>
      <c r="H1086" t="n">
        <v>0</v>
      </c>
      <c r="I1086">
        <f>G1086-H1086</f>
        <v/>
      </c>
    </row>
    <row r="1087">
      <c r="A1087" t="inlineStr">
        <is>
          <t>SB-0918</t>
        </is>
      </c>
      <c r="B1087" t="inlineStr">
        <is>
          <t>Salmonberry</t>
        </is>
      </c>
      <c r="C1087" t="inlineStr">
        <is>
          <t>open</t>
        </is>
      </c>
      <c r="D1087" t="n">
        <v>56.6</v>
      </c>
      <c r="E1087">
        <f>ROUNDUP(D1087, 0)</f>
        <v/>
      </c>
      <c r="F1087">
        <f>IF(LOWER(C1087)="covered", 10.40, 7.55)</f>
        <v/>
      </c>
      <c r="G1087">
        <f>E1087*F1087</f>
        <v/>
      </c>
      <c r="H1087" t="n">
        <v>0</v>
      </c>
      <c r="I1087">
        <f>G1087-H1087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Slip ID</t>
        </is>
      </c>
      <c r="C1" t="inlineStr">
        <is>
          <t>Tenant</t>
        </is>
      </c>
      <c r="D1" t="inlineStr">
        <is>
          <t>91-120 Days</t>
        </is>
      </c>
      <c r="E1" t="inlineStr">
        <is>
          <t>120+ Days</t>
        </is>
      </c>
      <c r="F1" t="inlineStr">
        <is>
          <t>Status</t>
        </is>
      </c>
      <c r="G1" t="inlineStr">
        <is>
          <t>Total Delinquent</t>
        </is>
      </c>
    </row>
    <row r="2">
      <c r="A2" t="inlineStr">
        <is>
          <t>AC-LP-0122</t>
        </is>
      </c>
      <c r="B2" t="inlineStr">
        <is>
          <t>LP-0122</t>
        </is>
      </c>
      <c r="C2" t="inlineStr">
        <is>
          <t>Paula Arroyo</t>
        </is>
      </c>
      <c r="D2" t="n">
        <v>509.6</v>
      </c>
      <c r="E2" t="n">
        <v>0</v>
      </c>
      <c r="F2" t="inlineStr">
        <is>
          <t>OCCUPIED</t>
        </is>
      </c>
      <c r="G2">
        <f>D2+E2</f>
        <v/>
      </c>
    </row>
    <row r="3">
      <c r="A3" t="inlineStr">
        <is>
          <t>AC-LP-0402</t>
        </is>
      </c>
      <c r="B3" t="inlineStr">
        <is>
          <t>LP-0402</t>
        </is>
      </c>
      <c r="C3" t="inlineStr">
        <is>
          <t>Dawn Brown</t>
        </is>
      </c>
      <c r="D3" t="n">
        <v>384.8</v>
      </c>
      <c r="E3" t="n">
        <v>0</v>
      </c>
      <c r="F3" t="inlineStr">
        <is>
          <t>OCCUPIED</t>
        </is>
      </c>
      <c r="G3">
        <f>D3+E3</f>
        <v/>
      </c>
    </row>
    <row r="4">
      <c r="A4" t="inlineStr">
        <is>
          <t>AC-LP-0602</t>
        </is>
      </c>
      <c r="B4" t="inlineStr">
        <is>
          <t>LP-0602</t>
        </is>
      </c>
      <c r="C4" t="inlineStr">
        <is>
          <t>Lee Maldonado</t>
        </is>
      </c>
      <c r="D4" t="n">
        <v>603.2</v>
      </c>
      <c r="E4" t="n">
        <v>603.2</v>
      </c>
      <c r="F4" t="inlineStr">
        <is>
          <t>OCCUPIED</t>
        </is>
      </c>
      <c r="G4">
        <f>D4+E4</f>
        <v/>
      </c>
    </row>
    <row r="5">
      <c r="A5" t="inlineStr">
        <is>
          <t>AC-LP-0605</t>
        </is>
      </c>
      <c r="B5" t="inlineStr">
        <is>
          <t>LP-0605</t>
        </is>
      </c>
      <c r="C5" t="inlineStr">
        <is>
          <t>Andrew Anderson</t>
        </is>
      </c>
      <c r="D5" t="n">
        <v>530.4</v>
      </c>
      <c r="E5" t="n">
        <v>0</v>
      </c>
      <c r="F5" t="inlineStr">
        <is>
          <t>OCCUPIED</t>
        </is>
      </c>
      <c r="G5">
        <f>D5+E5</f>
        <v/>
      </c>
    </row>
    <row r="6">
      <c r="A6" t="inlineStr">
        <is>
          <t>AC-LP-0713</t>
        </is>
      </c>
      <c r="B6" t="inlineStr">
        <is>
          <t>LP-0713</t>
        </is>
      </c>
      <c r="C6" t="inlineStr">
        <is>
          <t>Stacey Mitchell</t>
        </is>
      </c>
      <c r="D6" t="n">
        <v>416</v>
      </c>
      <c r="E6" t="n">
        <v>832</v>
      </c>
      <c r="F6" t="inlineStr">
        <is>
          <t>OCCUPIED</t>
        </is>
      </c>
      <c r="G6">
        <f>D6+E6</f>
        <v/>
      </c>
    </row>
    <row r="7">
      <c r="A7" t="inlineStr">
        <is>
          <t>AC-LP-0801</t>
        </is>
      </c>
      <c r="B7" t="inlineStr">
        <is>
          <t>LP-0801</t>
        </is>
      </c>
      <c r="C7" t="inlineStr">
        <is>
          <t>Allison Nguyen</t>
        </is>
      </c>
      <c r="D7" t="n">
        <v>488.8</v>
      </c>
      <c r="E7" t="n">
        <v>0</v>
      </c>
      <c r="F7" t="inlineStr">
        <is>
          <t>OCCUPIED</t>
        </is>
      </c>
      <c r="G7">
        <f>D7+E7</f>
        <v/>
      </c>
    </row>
    <row r="8">
      <c r="A8" t="inlineStr">
        <is>
          <t>TOTAL</t>
        </is>
      </c>
      <c r="B8" t="inlineStr"/>
      <c r="C8" t="inlineStr"/>
      <c r="D8" t="inlineStr"/>
      <c r="E8" t="inlineStr"/>
      <c r="F8" t="inlineStr"/>
      <c r="G8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2026-09-14T07:42:19Z</dcterms:created>
  <dcterms:modified xmlns:dcterms="http://purl.org/dc/terms/" xmlns:xsi="http://www.w3.org/2001/XMLSchema-instance" xsi:type="dcterms:W3CDTF">2026-09-14T07:42:19Z</dcterms:modified>
</cp:coreProperties>
</file>