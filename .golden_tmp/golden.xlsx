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Queue Exceptions" sheetId="2" r:id="rId2"/>
    <sheet name="Billing Reconciliations" sheetId="3" r:id="rId3"/>
    <sheet name="Aging" sheetId="4" r:id="rId4"/>
  </sheets>
</workbook>
</file>

<file path=xl/sharedStrings.xml><?xml version="1.0" encoding="utf-8"?>
<sst xmlns="http://schemas.openxmlformats.org/spreadsheetml/2006/main" count="194" uniqueCount="194">
  <si>
    <t>MOORAGE AUDIT | BOARD REVIEW</t>
  </si>
  <si>
    <t>Prepared for Administrator Ginny Marina | As of August 1, 2026 | Skip period January 1, 2023 - July 31, 2026</t>
  </si>
  <si>
    <t>AUDIT RESULTS</t>
  </si>
  <si>
    <t>Area</t>
  </si>
  <si>
    <t>Population</t>
  </si>
  <si>
    <t>Exceptions / gap</t>
  </si>
  <si>
    <t>Financial basis</t>
  </si>
  <si>
    <t>Status</t>
  </si>
  <si>
    <t>Board interpretation</t>
  </si>
  <si>
    <t>Queue skips</t>
  </si>
  <si>
    <t>19 without same-day proof</t>
  </si>
  <si>
    <t>SO 15-3 s.3.2</t>
  </si>
  <si>
    <t>FAIL</t>
  </si>
  <si>
    <t>Dedicated skip register governs; offer export 5 fewer events.</t>
  </si>
  <si>
    <t>Length amendments</t>
  </si>
  <si>
    <t>11 unsupported, 0 skip uses</t>
  </si>
  <si>
    <t>Res 2022-06 s.4.3</t>
  </si>
  <si>
    <t>PASS</t>
  </si>
  <si>
    <t>No scoped skip using unsupported length.</t>
  </si>
  <si>
    <t>July monthly billings</t>
  </si>
  <si>
    <t>317 without July row</t>
  </si>
  <si>
    <t>Rates: $10.40/$7.55</t>
  </si>
  <si>
    <t>PARTIAL</t>
  </si>
  <si>
    <t>Tested rows reprice at tariff using MAX(LOA, slip size).</t>
  </si>
  <si>
    <t>Billing coverage</t>
  </si>
  <si>
    <t>Unverified basis: $120,158.25</t>
  </si>
  <si>
    <t>CAUTION</t>
  </si>
  <si>
    <t>Slips without July row are not leakage; term/prepayment evidence required.</t>
  </si>
  <si>
    <t>Aging &gt;90 days</t>
  </si>
  <si>
    <t>2 include 120+ amounts</t>
  </si>
  <si>
    <t>Total: $4,368.00</t>
  </si>
  <si>
    <t>All in COLLECTIONS; last contact within 60 days.</t>
  </si>
  <si>
    <t>FINANCIAL SUMMARY</t>
  </si>
  <si>
    <t>Expected Revenue (all occupied)</t>
  </si>
  <si>
    <t>Exported Revenue (July monthly)</t>
  </si>
  <si>
    <t>Revenue Exposure</t>
  </si>
  <si>
    <t>Annualized Exposure</t>
  </si>
  <si>
    <t>Baseline Floor (317 missing)</t>
  </si>
  <si>
    <t>QUEUE EXCEPTION SUMMARY</t>
  </si>
  <si>
    <t>Category</t>
  </si>
  <si>
    <t>Count</t>
  </si>
  <si>
    <t>Priority</t>
  </si>
  <si>
    <t>Skip without same-day proof</t>
  </si>
  <si>
    <t>Priority 1</t>
  </si>
  <si>
    <t>Unsupported LOA entries</t>
  </si>
  <si>
    <t>Unresolved cases (WL-01999, WL-02085)</t>
  </si>
  <si>
    <t>Late supporting record (WL-02319)</t>
  </si>
  <si>
    <t>Invalid reason code (WL-02712)</t>
  </si>
  <si>
    <t>File/identity mismatch (WL-02877, WL-03102)</t>
  </si>
  <si>
    <t>Priority 2</t>
  </si>
  <si>
    <t>Other skip exceptions</t>
  </si>
  <si>
    <t>Subledger math errors</t>
  </si>
  <si>
    <t>Priority 3</t>
  </si>
  <si>
    <t>SUBLEDGER OVERVIEW</t>
  </si>
  <si>
    <t>AR aging accounts</t>
  </si>
  <si>
    <t>Missing from aging</t>
  </si>
  <si>
    <t>Subledger error lines</t>
  </si>
  <si>
    <t>Control gap (vs true total)</t>
  </si>
  <si>
    <t>True bucket total</t>
  </si>
  <si>
    <t>QUEUE EXCEPTIONS</t>
  </si>
  <si>
    <t>Scope: Jan 1, 2023 - Jul 31, 2026</t>
  </si>
  <si>
    <t>PRIORITY 1 EXCEPTIONS</t>
  </si>
  <si>
    <t>Applicant</t>
  </si>
  <si>
    <t>Name</t>
  </si>
  <si>
    <t>Date</t>
  </si>
  <si>
    <t>Reason</t>
  </si>
  <si>
    <t>Reg Slip</t>
  </si>
  <si>
    <t>File Slip</t>
  </si>
  <si>
    <t>Exception</t>
  </si>
  <si>
    <t>Evidence</t>
  </si>
  <si>
    <t>Tier 1</t>
  </si>
  <si>
    <t>WL-02618</t>
  </si>
  <si>
    <t>Gary Tomlinson</t>
  </si>
  <si>
    <t>2023-05-02</t>
  </si>
  <si>
    <t>vessel-fit</t>
  </si>
  <si>
    <t>GW-0610</t>
  </si>
  <si>
    <t>EW-0414</t>
  </si>
  <si>
    <t>Missing contemporaneous support</t>
  </si>
  <si>
    <t>RETAINER</t>
  </si>
  <si>
    <t>Cover sheet only; file slip EW-0414 differs from GW-0610.</t>
  </si>
  <si>
    <t>WL-03044</t>
  </si>
  <si>
    <t>Iris Quan</t>
  </si>
  <si>
    <t>2024-02-20</t>
  </si>
  <si>
    <t>preference-mismatch</t>
  </si>
  <si>
    <t>VB-0904</t>
  </si>
  <si>
    <t>EW-0603</t>
  </si>
  <si>
    <t>ACTIVE_WAITLIST</t>
  </si>
  <si>
    <t>Cover sheet only; file slip EW-0603 differs from VB-0904.</t>
  </si>
  <si>
    <t>WL-03390</t>
  </si>
  <si>
    <t>Phillip Ard</t>
  </si>
  <si>
    <t>2024-11-05</t>
  </si>
  <si>
    <t>declined-prior-offer</t>
  </si>
  <si>
    <t>SB-0120</t>
  </si>
  <si>
    <t>VB-0144</t>
  </si>
  <si>
    <t>Cover sheet only; no cited prior offer; VB-0144 differs from SB-0120.</t>
  </si>
  <si>
    <t>WL-01999</t>
  </si>
  <si>
    <t>TBD</t>
  </si>
  <si>
    <t>N/A</t>
  </si>
  <si>
    <t>Unsupported LOA, unresolved</t>
  </si>
  <si>
    <t>1 LOA amendment (AMD-001092, 2024-03-30) with no cert source; 0 skip events, 0 offer events.</t>
  </si>
  <si>
    <t>WL-02085</t>
  </si>
  <si>
    <t>1 LOA amendment (AMD-001859, 2025-10-30) with no cert source; 3 stale offers; 0 skip events.</t>
  </si>
  <si>
    <t>WL-02319</t>
  </si>
  <si>
    <t>Elizabeth Pacheco</t>
  </si>
  <si>
    <t>Late supporting record</t>
  </si>
  <si>
    <t>Support dated 3 days after slip worked; absent from offer/skip exports.</t>
  </si>
  <si>
    <t>WL-02712</t>
  </si>
  <si>
    <t>James Lynch</t>
  </si>
  <si>
    <t>vessel-fit (invalid)</t>
  </si>
  <si>
    <t>Invalid code + arithmetic</t>
  </si>
  <si>
    <t>Coded vessel-fit but fits 28ft slip; recoded invalid. Also failed arithmetic.</t>
  </si>
  <si>
    <t>OVERDUE ACCOUNTS (&gt;90 days as of Aug 1, 2026)</t>
  </si>
  <si>
    <t>Account</t>
  </si>
  <si>
    <t>Tenant</t>
  </si>
  <si>
    <t>Slip</t>
  </si>
  <si>
    <t>Basin</t>
  </si>
  <si>
    <t>Current</t>
  </si>
  <si>
    <t>31-60</t>
  </si>
  <si>
    <t>61-90</t>
  </si>
  <si>
    <t>91-120</t>
  </si>
  <si>
    <t>Over-90</t>
  </si>
  <si>
    <t>Total Due</t>
  </si>
  <si>
    <t>AC-LP-0122</t>
  </si>
  <si>
    <t>Paula Arroyo</t>
  </si>
  <si>
    <t>LP-0122</t>
  </si>
  <si>
    <t>Ledgport</t>
  </si>
  <si>
    <t>AC-LP-0402</t>
  </si>
  <si>
    <t>Dawn Brown</t>
  </si>
  <si>
    <t>LP-0402</t>
  </si>
  <si>
    <t>AC-LP-0602</t>
  </si>
  <si>
    <t>Lee Maldonado</t>
  </si>
  <si>
    <t>LP-0602</t>
  </si>
  <si>
    <t>AC-LP-0605</t>
  </si>
  <si>
    <t>Andrew Anderson</t>
  </si>
  <si>
    <t>LP-0605</t>
  </si>
  <si>
    <t>AC-LP-0713</t>
  </si>
  <si>
    <t>Stacey Mitchell</t>
  </si>
  <si>
    <t>LP-0713</t>
  </si>
  <si>
    <t>AC-LP-0801</t>
  </si>
  <si>
    <t>Allison Nguyen</t>
  </si>
  <si>
    <t>LP-0801</t>
  </si>
  <si>
    <t>TOTAL OVER-90</t>
  </si>
  <si>
    <t>BILLING RECONCILIATIONS</t>
  </si>
  <si>
    <t>July 2026 recurring moorage | Source: slip_inventory_2026-08 + billing_transactions_2022_2026.csv</t>
  </si>
  <si>
    <t>OCCUPIED SLIP SUMMARY</t>
  </si>
  <si>
    <t>Total Occupied Slips</t>
  </si>
  <si>
    <t>With July billing</t>
  </si>
  <si>
    <t>Without July billing</t>
  </si>
  <si>
    <t>REVENUE ANALYSIS</t>
  </si>
  <si>
    <t>Expected Revenue</t>
  </si>
  <si>
    <t>Exported Revenue</t>
  </si>
  <si>
    <t>Exposure</t>
  </si>
  <si>
    <t>Baseline Floor (317 slips)</t>
  </si>
  <si>
    <t>COVERAGE BY BASIN</t>
  </si>
  <si>
    <t>Occupied</t>
  </si>
  <si>
    <t>July Rows</t>
  </si>
  <si>
    <t>Unscored</t>
  </si>
  <si>
    <t>REVIEW</t>
  </si>
  <si>
    <t>Vessbank</t>
  </si>
  <si>
    <t>Eastwey</t>
  </si>
  <si>
    <t>Gullwing</t>
  </si>
  <si>
    <t>Salmonberry</t>
  </si>
  <si>
    <t>TOTAL</t>
  </si>
  <si>
    <t>BILLING POLICY</t>
  </si>
  <si>
    <t>Rate: $10.40/ft-mo covered, $7.55/ft-mo open (Res 2022-06, eff. Aug 1, 2022)</t>
  </si>
  <si>
    <t>Pre-adoption: $9.85/$7.10 (Tariff Res 2019-14)</t>
  </si>
  <si>
    <t>Billable length = MAX(rounded-up check-in LOA, posted slip length)</t>
  </si>
  <si>
    <t>39 subledger errors: $17,108.00 gap vs $147,836.00 true total</t>
  </si>
  <si>
    <t>AGING | ACTIVE HOLDERS OVER 90 DAYS</t>
  </si>
  <si>
    <t>Source: ar_aging_2026-07-31.xlsx | Cross-checked: slip_inventory_2026-08.csv</t>
  </si>
  <si>
    <t>OVERDUE ACCOUNTS</t>
  </si>
  <si>
    <t>Rate Class</t>
  </si>
  <si>
    <t>120+</t>
  </si>
  <si>
    <t>Over 90</t>
  </si>
  <si>
    <t>Last Pmt</t>
  </si>
  <si>
    <t>Active</t>
  </si>
  <si>
    <t>NON_COMM</t>
  </si>
  <si>
    <t>2026-05-29</t>
  </si>
  <si>
    <t>COLLECTIONS</t>
  </si>
  <si>
    <t>OCCUPIED</t>
  </si>
  <si>
    <t>P1</t>
  </si>
  <si>
    <t>2026-07-11</t>
  </si>
  <si>
    <t>2026-07-18</t>
  </si>
  <si>
    <t>2026-05-06</t>
  </si>
  <si>
    <t>2026-07-08</t>
  </si>
  <si>
    <t>2026-07-03</t>
  </si>
  <si>
    <t>SUMMARY</t>
  </si>
  <si>
    <t>Total Over-90 Days</t>
  </si>
  <si>
    <t>Total Over-90 Balance</t>
  </si>
  <si>
    <t>AR Aging Subledger Accounts</t>
  </si>
  <si>
    <t>Accounts Missing from Aging</t>
  </si>
  <si>
    <t>Subledger Error Lines</t>
  </si>
  <si>
    <t>Control Gap</t>
  </si>
  <si>
    <t>True Bucket Total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</si>
</sst>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sz val="11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  <c r="B1"/>
      <c r="C1"/>
      <c r="D1"/>
      <c r="E1"/>
      <c r="F1"/>
      <c r="G1"/>
      <c r="H1"/>
    </row>
    <row r="2">
      <c r="A2" t="s">
        <v>1</v>
      </c>
      <c r="B2"/>
      <c r="C2"/>
      <c r="D2"/>
      <c r="E2"/>
      <c r="F2"/>
      <c r="G2"/>
      <c r="H2"/>
    </row>
    <row r="3">
      <c r="A3"/>
      <c r="B3"/>
      <c r="C3"/>
      <c r="D3"/>
      <c r="E3"/>
      <c r="F3"/>
      <c r="G3"/>
      <c r="H3"/>
    </row>
    <row r="4">
      <c r="A4" t="s">
        <v>2</v>
      </c>
      <c r="B4"/>
      <c r="C4"/>
      <c r="D4"/>
      <c r="E4"/>
      <c r="F4"/>
      <c r="G4"/>
      <c r="H4"/>
    </row>
    <row r="5">
      <c r="A5" t="s">
        <v>3</v>
      </c>
      <c r="B5" t="s">
        <v>4</v>
      </c>
      <c r="C5" t="s">
        <v>5</v>
      </c>
      <c r="D5" t="s">
        <v>6</v>
      </c>
      <c r="E5" t="s">
        <v>7</v>
      </c>
      <c r="F5" t="s">
        <v>8</v>
      </c>
      <c r="G5"/>
      <c r="H5"/>
    </row>
    <row r="6">
      <c r="A6" t="s">
        <v>9</v>
      </c>
      <c r="B6">
        <v>309</v>
      </c>
      <c r="C6" t="s">
        <v>10</v>
      </c>
      <c r="D6" t="s">
        <v>11</v>
      </c>
      <c r="E6" t="s">
        <v>12</v>
      </c>
      <c r="F6" t="s">
        <v>13</v>
      </c>
      <c r="G6"/>
      <c r="H6"/>
    </row>
    <row r="7">
      <c r="A7" t="s">
        <v>14</v>
      </c>
      <c r="B7">
        <v>176</v>
      </c>
      <c r="C7" t="s">
        <v>15</v>
      </c>
      <c r="D7" t="s">
        <v>16</v>
      </c>
      <c r="E7" t="s">
        <v>17</v>
      </c>
      <c r="F7" t="s">
        <v>18</v>
      </c>
      <c r="G7"/>
      <c r="H7"/>
    </row>
    <row r="8">
      <c r="A8" t="s">
        <v>19</v>
      </c>
      <c r="B8">
        <v>769</v>
      </c>
      <c r="C8" t="s">
        <v>20</v>
      </c>
      <c r="D8" t="s">
        <v>21</v>
      </c>
      <c r="E8" t="s">
        <v>22</v>
      </c>
      <c r="F8" t="s">
        <v>23</v>
      </c>
      <c r="G8"/>
      <c r="H8"/>
    </row>
    <row r="9">
      <c r="A9" t="s">
        <v>24</v>
      </c>
      <c r="B9">
        <v>1086</v>
      </c>
      <c r="C9">
        <v>317</v>
      </c>
      <c r="D9" t="s">
        <v>25</v>
      </c>
      <c r="E9" t="s">
        <v>26</v>
      </c>
      <c r="F9" t="s">
        <v>27</v>
      </c>
      <c r="G9"/>
      <c r="H9"/>
    </row>
    <row r="10">
      <c r="A10" t="s">
        <v>28</v>
      </c>
      <c r="B10">
        <v>6</v>
      </c>
      <c r="C10" t="s">
        <v>29</v>
      </c>
      <c r="D10" t="s">
        <v>30</v>
      </c>
      <c r="E10" t="s">
        <v>12</v>
      </c>
      <c r="F10" t="s">
        <v>31</v>
      </c>
      <c r="G10"/>
      <c r="H10"/>
    </row>
    <row r="11">
      <c r="A11"/>
      <c r="B11"/>
      <c r="C11"/>
      <c r="D11"/>
      <c r="E11"/>
      <c r="F11"/>
      <c r="G11"/>
      <c r="H11"/>
    </row>
    <row r="12">
      <c r="A12" t="s">
        <v>32</v>
      </c>
      <c r="B12"/>
      <c r="C12"/>
      <c r="D12"/>
      <c r="E12"/>
      <c r="F12"/>
      <c r="G12"/>
      <c r="H12"/>
    </row>
    <row r="13">
      <c r="A13" t="s">
        <v>33</v>
      </c>
      <c r="B13">
        <v>439918.3</v>
      </c>
      <c r="C13"/>
      <c r="D13"/>
      <c r="E13"/>
      <c r="F13"/>
      <c r="G13"/>
      <c r="H13"/>
    </row>
    <row r="14">
      <c r="A14" t="s">
        <v>34</v>
      </c>
      <c r="B14">
        <v>319760.05</v>
      </c>
      <c r="C14"/>
      <c r="D14"/>
      <c r="E14"/>
      <c r="F14"/>
      <c r="G14"/>
      <c r="H14"/>
    </row>
    <row r="15">
      <c r="A15" t="s">
        <v>35</v>
      </c>
      <c r="B15">
        <f>B13-B14</f>
      </c>
      <c r="C15"/>
      <c r="D15"/>
      <c r="E15"/>
      <c r="F15"/>
      <c r="G15"/>
      <c r="H15"/>
    </row>
    <row r="16">
      <c r="A16" t="s">
        <v>36</v>
      </c>
      <c r="B16">
        <f>B15*12</f>
      </c>
      <c r="C16"/>
      <c r="D16"/>
      <c r="E16"/>
      <c r="F16"/>
      <c r="G16"/>
      <c r="H16"/>
    </row>
    <row r="17">
      <c r="A17" t="s">
        <v>37</v>
      </c>
      <c r="B17">
        <v>99629.8</v>
      </c>
      <c r="C17"/>
      <c r="D17"/>
      <c r="E17"/>
      <c r="F17"/>
      <c r="G17"/>
      <c r="H17"/>
    </row>
    <row r="18">
      <c r="A18"/>
      <c r="B18"/>
      <c r="C18"/>
      <c r="D18"/>
      <c r="E18"/>
      <c r="F18"/>
      <c r="G18"/>
      <c r="H18"/>
    </row>
    <row r="19">
      <c r="A19" t="s">
        <v>38</v>
      </c>
      <c r="B19"/>
      <c r="C19"/>
      <c r="D19"/>
      <c r="E19"/>
      <c r="F19"/>
      <c r="G19"/>
      <c r="H19"/>
    </row>
    <row r="20">
      <c r="A20" t="s">
        <v>39</v>
      </c>
      <c r="B20" t="s">
        <v>40</v>
      </c>
      <c r="C20" t="s">
        <v>41</v>
      </c>
      <c r="D20"/>
      <c r="E20"/>
      <c r="F20"/>
      <c r="G20"/>
      <c r="H20"/>
    </row>
    <row r="21">
      <c r="A21" t="s">
        <v>42</v>
      </c>
      <c r="B21">
        <v>19</v>
      </c>
      <c r="C21" t="s">
        <v>43</v>
      </c>
      <c r="D21"/>
      <c r="E21"/>
      <c r="F21"/>
      <c r="G21"/>
      <c r="H21"/>
    </row>
    <row r="22">
      <c r="A22" t="s">
        <v>44</v>
      </c>
      <c r="B22">
        <v>11</v>
      </c>
      <c r="C22" t="s">
        <v>43</v>
      </c>
      <c r="D22"/>
      <c r="E22"/>
      <c r="F22"/>
      <c r="G22"/>
      <c r="H22"/>
    </row>
    <row r="23">
      <c r="A23" t="s">
        <v>45</v>
      </c>
      <c r="B23">
        <v>2</v>
      </c>
      <c r="C23" t="s">
        <v>43</v>
      </c>
      <c r="D23"/>
      <c r="E23"/>
      <c r="F23"/>
      <c r="G23"/>
      <c r="H23"/>
    </row>
    <row r="24">
      <c r="A24" t="s">
        <v>46</v>
      </c>
      <c r="B24">
        <v>1</v>
      </c>
      <c r="C24" t="s">
        <v>43</v>
      </c>
      <c r="D24"/>
      <c r="E24"/>
      <c r="F24"/>
      <c r="G24"/>
      <c r="H24"/>
    </row>
    <row r="25">
      <c r="A25" t="s">
        <v>47</v>
      </c>
      <c r="B25">
        <v>1</v>
      </c>
      <c r="C25" t="s">
        <v>43</v>
      </c>
      <c r="D25"/>
      <c r="E25"/>
      <c r="F25"/>
      <c r="G25"/>
      <c r="H25"/>
    </row>
    <row r="26">
      <c r="A26" t="s">
        <v>48</v>
      </c>
      <c r="B26">
        <v>2</v>
      </c>
      <c r="C26" t="s">
        <v>49</v>
      </c>
      <c r="D26"/>
      <c r="E26"/>
      <c r="F26"/>
      <c r="G26"/>
      <c r="H26"/>
    </row>
    <row r="27">
      <c r="A27" t="s">
        <v>50</v>
      </c>
      <c r="B27">
        <v>12</v>
      </c>
      <c r="C27" t="s">
        <v>49</v>
      </c>
      <c r="D27"/>
      <c r="E27"/>
      <c r="F27"/>
      <c r="G27"/>
      <c r="H27"/>
    </row>
    <row r="28">
      <c r="A28" t="s">
        <v>51</v>
      </c>
      <c r="B28">
        <v>39</v>
      </c>
      <c r="C28" t="s">
        <v>52</v>
      </c>
      <c r="D28"/>
      <c r="E28"/>
      <c r="F28"/>
      <c r="G28"/>
      <c r="H28"/>
    </row>
    <row r="29">
      <c r="A29"/>
      <c r="B29"/>
      <c r="C29"/>
      <c r="D29"/>
      <c r="E29"/>
      <c r="F29"/>
      <c r="G29"/>
      <c r="H29"/>
    </row>
    <row r="30">
      <c r="A30" t="s">
        <v>53</v>
      </c>
      <c r="B30"/>
      <c r="C30"/>
      <c r="D30"/>
      <c r="E30"/>
      <c r="F30"/>
      <c r="G30"/>
      <c r="H30"/>
    </row>
    <row r="31">
      <c r="A31" t="s">
        <v>54</v>
      </c>
      <c r="B31">
        <v>260</v>
      </c>
      <c r="C31"/>
      <c r="D31"/>
      <c r="E31"/>
      <c r="F31"/>
      <c r="G31"/>
      <c r="H31"/>
    </row>
    <row r="32">
      <c r="A32" t="s">
        <v>55</v>
      </c>
      <c r="B32">
        <v>826</v>
      </c>
      <c r="C32"/>
      <c r="D32"/>
      <c r="E32"/>
      <c r="F32"/>
      <c r="G32"/>
      <c r="H32"/>
    </row>
    <row r="33">
      <c r="A33" t="s">
        <v>56</v>
      </c>
      <c r="B33">
        <v>39</v>
      </c>
      <c r="C33"/>
      <c r="D33"/>
      <c r="E33"/>
      <c r="F33"/>
      <c r="G33"/>
      <c r="H33"/>
    </row>
    <row r="34">
      <c r="A34" t="s">
        <v>57</v>
      </c>
      <c r="B34">
        <v>17108.0</v>
      </c>
      <c r="C34"/>
      <c r="D34"/>
      <c r="E34"/>
      <c r="F34"/>
      <c r="G34"/>
      <c r="H34"/>
    </row>
    <row r="35">
      <c r="A35" t="s">
        <v>58</v>
      </c>
      <c r="B35">
        <v>147836.0</v>
      </c>
      <c r="C35"/>
      <c r="D35"/>
      <c r="E35"/>
      <c r="F35"/>
      <c r="G35"/>
      <c r="H35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t="s">
        <v>59</v>
      </c>
      <c r="B1"/>
      <c r="C1"/>
      <c r="D1"/>
      <c r="E1"/>
      <c r="F1"/>
      <c r="G1"/>
      <c r="H1"/>
      <c r="I1"/>
      <c r="J1"/>
    </row>
    <row r="2">
      <c r="A2" t="s">
        <v>60</v>
      </c>
      <c r="B2"/>
      <c r="C2"/>
      <c r="D2"/>
      <c r="E2"/>
      <c r="F2"/>
      <c r="G2"/>
      <c r="H2"/>
      <c r="I2"/>
      <c r="J2"/>
    </row>
    <row r="3">
      <c r="A3"/>
      <c r="B3"/>
      <c r="C3"/>
      <c r="D3"/>
      <c r="E3"/>
      <c r="F3"/>
      <c r="G3"/>
      <c r="H3"/>
      <c r="I3"/>
      <c r="J3"/>
    </row>
    <row r="4">
      <c r="A4" t="s">
        <v>61</v>
      </c>
      <c r="B4"/>
      <c r="C4"/>
      <c r="D4"/>
      <c r="E4"/>
      <c r="F4"/>
      <c r="G4"/>
      <c r="H4"/>
      <c r="I4"/>
      <c r="J4"/>
    </row>
    <row r="5">
      <c r="A5" t="s">
        <v>41</v>
      </c>
      <c r="B5" t="s">
        <v>62</v>
      </c>
      <c r="C5" t="s">
        <v>63</v>
      </c>
      <c r="D5" t="s">
        <v>64</v>
      </c>
      <c r="E5" t="s">
        <v>65</v>
      </c>
      <c r="F5" t="s">
        <v>66</v>
      </c>
      <c r="G5" t="s">
        <v>67</v>
      </c>
      <c r="H5" t="s">
        <v>68</v>
      </c>
      <c r="I5" t="s">
        <v>7</v>
      </c>
      <c r="J5" t="s">
        <v>69</v>
      </c>
    </row>
    <row r="6">
      <c r="A6" t="s">
        <v>70</v>
      </c>
      <c r="B6" t="s">
        <v>71</v>
      </c>
      <c r="C6" t="s">
        <v>72</v>
      </c>
      <c r="D6" t="s">
        <v>73</v>
      </c>
      <c r="E6" t="s">
        <v>74</v>
      </c>
      <c r="F6" t="s">
        <v>75</v>
      </c>
      <c r="G6" t="s">
        <v>76</v>
      </c>
      <c r="H6" t="s">
        <v>77</v>
      </c>
      <c r="I6" t="s">
        <v>78</v>
      </c>
      <c r="J6" t="s">
        <v>79</v>
      </c>
    </row>
    <row r="7">
      <c r="A7" t="s">
        <v>70</v>
      </c>
      <c r="B7" t="s">
        <v>80</v>
      </c>
      <c r="C7" t="s">
        <v>81</v>
      </c>
      <c r="D7" t="s">
        <v>82</v>
      </c>
      <c r="E7" t="s">
        <v>83</v>
      </c>
      <c r="F7" t="s">
        <v>84</v>
      </c>
      <c r="G7" t="s">
        <v>85</v>
      </c>
      <c r="H7" t="s">
        <v>77</v>
      </c>
      <c r="I7" t="s">
        <v>86</v>
      </c>
      <c r="J7" t="s">
        <v>87</v>
      </c>
    </row>
    <row r="8">
      <c r="A8" t="s">
        <v>70</v>
      </c>
      <c r="B8" t="s">
        <v>88</v>
      </c>
      <c r="C8" t="s">
        <v>89</v>
      </c>
      <c r="D8" t="s">
        <v>90</v>
      </c>
      <c r="E8" t="s">
        <v>91</v>
      </c>
      <c r="F8" t="s">
        <v>92</v>
      </c>
      <c r="G8" t="s">
        <v>93</v>
      </c>
      <c r="H8" t="s">
        <v>77</v>
      </c>
      <c r="I8" t="s">
        <v>78</v>
      </c>
      <c r="J8" t="s">
        <v>94</v>
      </c>
    </row>
    <row r="9">
      <c r="A9" t="s">
        <v>70</v>
      </c>
      <c r="B9" t="s">
        <v>95</v>
      </c>
      <c r="C9" t="s">
        <v>96</v>
      </c>
      <c r="D9" t="s">
        <v>97</v>
      </c>
      <c r="E9" t="s">
        <v>97</v>
      </c>
      <c r="F9" t="s">
        <v>97</v>
      </c>
      <c r="G9" t="s">
        <v>97</v>
      </c>
      <c r="H9" t="s">
        <v>98</v>
      </c>
      <c r="I9" t="s">
        <v>86</v>
      </c>
      <c r="J9" t="s">
        <v>99</v>
      </c>
    </row>
    <row r="10">
      <c r="A10" t="s">
        <v>70</v>
      </c>
      <c r="B10" t="s">
        <v>100</v>
      </c>
      <c r="C10" t="s">
        <v>96</v>
      </c>
      <c r="D10" t="s">
        <v>97</v>
      </c>
      <c r="E10" t="s">
        <v>97</v>
      </c>
      <c r="F10" t="s">
        <v>97</v>
      </c>
      <c r="G10" t="s">
        <v>97</v>
      </c>
      <c r="H10" t="s">
        <v>98</v>
      </c>
      <c r="I10" t="s">
        <v>86</v>
      </c>
      <c r="J10" t="s">
        <v>101</v>
      </c>
    </row>
    <row r="11">
      <c r="A11" t="s">
        <v>70</v>
      </c>
      <c r="B11" t="s">
        <v>102</v>
      </c>
      <c r="C11" t="s">
        <v>103</v>
      </c>
      <c r="D11" t="s">
        <v>97</v>
      </c>
      <c r="E11" t="s">
        <v>97</v>
      </c>
      <c r="F11" t="s">
        <v>97</v>
      </c>
      <c r="G11" t="s">
        <v>97</v>
      </c>
      <c r="H11" t="s">
        <v>104</v>
      </c>
      <c r="I11" t="s">
        <v>86</v>
      </c>
      <c r="J11" t="s">
        <v>105</v>
      </c>
    </row>
    <row r="12">
      <c r="A12" t="s">
        <v>70</v>
      </c>
      <c r="B12" t="s">
        <v>106</v>
      </c>
      <c r="C12" t="s">
        <v>107</v>
      </c>
      <c r="D12" t="s">
        <v>97</v>
      </c>
      <c r="E12" t="s">
        <v>108</v>
      </c>
      <c r="F12" t="s">
        <v>97</v>
      </c>
      <c r="G12" t="s">
        <v>97</v>
      </c>
      <c r="H12" t="s">
        <v>109</v>
      </c>
      <c r="I12" t="s">
        <v>86</v>
      </c>
      <c r="J12" t="s">
        <v>110</v>
      </c>
    </row>
    <row r="13">
      <c r="A13"/>
      <c r="B13"/>
      <c r="C13"/>
      <c r="D13"/>
      <c r="E13"/>
      <c r="F13"/>
      <c r="G13"/>
      <c r="H13"/>
      <c r="I13"/>
      <c r="J13"/>
    </row>
    <row r="14">
      <c r="A14" t="s">
        <v>111</v>
      </c>
      <c r="B14"/>
      <c r="C14"/>
      <c r="D14"/>
      <c r="E14"/>
      <c r="F14"/>
      <c r="G14"/>
      <c r="H14"/>
      <c r="I14"/>
      <c r="J14"/>
    </row>
    <row r="15">
      <c r="A15" t="s">
        <v>112</v>
      </c>
      <c r="B15" t="s">
        <v>113</v>
      </c>
      <c r="C15" t="s">
        <v>114</v>
      </c>
      <c r="D15" t="s">
        <v>115</v>
      </c>
      <c r="E15" t="s">
        <v>116</v>
      </c>
      <c r="F15" t="s">
        <v>117</v>
      </c>
      <c r="G15" t="s">
        <v>118</v>
      </c>
      <c r="H15" t="s">
        <v>119</v>
      </c>
      <c r="I15" t="s">
        <v>120</v>
      </c>
      <c r="J15" t="s">
        <v>121</v>
      </c>
    </row>
    <row r="16">
      <c r="A16" t="s">
        <v>122</v>
      </c>
      <c r="B16" t="s">
        <v>123</v>
      </c>
      <c r="C16" t="s">
        <v>124</v>
      </c>
      <c r="D16" t="s">
        <v>125</v>
      </c>
      <c r="E16">
        <v>509.6</v>
      </c>
      <c r="F16">
        <v>509.6</v>
      </c>
      <c r="G16">
        <v>509.6</v>
      </c>
      <c r="H16">
        <v>509.6</v>
      </c>
      <c r="I16">
        <v>509.6</v>
      </c>
      <c r="J16">
        <v>2038.4</v>
      </c>
    </row>
    <row r="17">
      <c r="A17" t="s">
        <v>126</v>
      </c>
      <c r="B17" t="s">
        <v>127</v>
      </c>
      <c r="C17" t="s">
        <v>128</v>
      </c>
      <c r="D17" t="s">
        <v>125</v>
      </c>
      <c r="E17">
        <v>384.8</v>
      </c>
      <c r="F17">
        <v>384.8</v>
      </c>
      <c r="G17">
        <v>384.8</v>
      </c>
      <c r="H17">
        <v>384.8</v>
      </c>
      <c r="I17">
        <v>384.8</v>
      </c>
      <c r="J17">
        <v>1539.2</v>
      </c>
    </row>
    <row r="18">
      <c r="A18" t="s">
        <v>129</v>
      </c>
      <c r="B18" t="s">
        <v>130</v>
      </c>
      <c r="C18" t="s">
        <v>131</v>
      </c>
      <c r="D18" t="s">
        <v>125</v>
      </c>
      <c r="E18">
        <v>603.2</v>
      </c>
      <c r="F18">
        <v>603.2</v>
      </c>
      <c r="G18">
        <v>603.2</v>
      </c>
      <c r="H18">
        <v>603.2</v>
      </c>
      <c r="I18">
        <v>1206.4</v>
      </c>
      <c r="J18">
        <v>3016.0</v>
      </c>
    </row>
    <row r="19">
      <c r="A19" t="s">
        <v>132</v>
      </c>
      <c r="B19" t="s">
        <v>133</v>
      </c>
      <c r="C19" t="s">
        <v>134</v>
      </c>
      <c r="D19" t="s">
        <v>125</v>
      </c>
      <c r="E19">
        <v>530.4</v>
      </c>
      <c r="F19">
        <v>530.4</v>
      </c>
      <c r="G19">
        <v>530.4</v>
      </c>
      <c r="H19">
        <v>530.4</v>
      </c>
      <c r="I19">
        <v>530.4</v>
      </c>
      <c r="J19">
        <v>2121.6</v>
      </c>
    </row>
    <row r="20">
      <c r="A20" t="s">
        <v>135</v>
      </c>
      <c r="B20" t="s">
        <v>136</v>
      </c>
      <c r="C20" t="s">
        <v>137</v>
      </c>
      <c r="D20" t="s">
        <v>125</v>
      </c>
      <c r="E20">
        <v>488.8</v>
      </c>
      <c r="F20">
        <v>488.8</v>
      </c>
      <c r="G20">
        <v>488.8</v>
      </c>
      <c r="H20">
        <v>488.8</v>
      </c>
      <c r="I20">
        <v>488.8</v>
      </c>
      <c r="J20">
        <v>1955.2</v>
      </c>
    </row>
    <row r="21">
      <c r="A21" t="s">
        <v>138</v>
      </c>
      <c r="B21" t="s">
        <v>139</v>
      </c>
      <c r="C21" t="s">
        <v>140</v>
      </c>
      <c r="D21" t="s">
        <v>125</v>
      </c>
      <c r="E21">
        <v>416.0</v>
      </c>
      <c r="F21">
        <v>416.0</v>
      </c>
      <c r="G21">
        <v>416.0</v>
      </c>
      <c r="H21">
        <v>416.0</v>
      </c>
      <c r="I21">
        <v>416.0</v>
      </c>
      <c r="J21">
        <v>1664.0</v>
      </c>
    </row>
    <row r="22">
      <c r="A22" t="s">
        <v>141</v>
      </c>
      <c r="B22"/>
      <c r="C22"/>
      <c r="D22"/>
      <c r="E22"/>
      <c r="F22"/>
      <c r="G22"/>
      <c r="H22"/>
      <c r="I22"/>
      <c r="J22">
        <f>SUM(K15:K20)</f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Data>
    <row r="1">
      <c r="A1" t="s">
        <v>142</v>
      </c>
      <c r="B1"/>
      <c r="C1"/>
      <c r="D1"/>
      <c r="E1"/>
      <c r="F1"/>
      <c r="G1"/>
      <c r="H1"/>
      <c r="I1"/>
      <c r="J1"/>
      <c r="K1"/>
    </row>
    <row r="2">
      <c r="A2" t="s">
        <v>143</v>
      </c>
      <c r="B2"/>
      <c r="C2"/>
      <c r="D2"/>
      <c r="E2"/>
      <c r="F2"/>
      <c r="G2"/>
      <c r="H2"/>
      <c r="I2"/>
      <c r="J2"/>
      <c r="K2"/>
    </row>
    <row r="3">
      <c r="A3"/>
      <c r="B3"/>
      <c r="C3"/>
      <c r="D3"/>
      <c r="E3"/>
      <c r="F3"/>
      <c r="G3"/>
      <c r="H3"/>
      <c r="I3"/>
      <c r="J3"/>
      <c r="K3"/>
    </row>
    <row r="4">
      <c r="A4" t="s">
        <v>144</v>
      </c>
      <c r="B4"/>
      <c r="C4"/>
      <c r="D4"/>
      <c r="E4"/>
      <c r="F4"/>
      <c r="G4"/>
      <c r="H4"/>
      <c r="I4"/>
      <c r="J4"/>
      <c r="K4"/>
    </row>
    <row r="5">
      <c r="A5" t="s">
        <v>145</v>
      </c>
      <c r="B5">
        <v>1086</v>
      </c>
      <c r="C5"/>
      <c r="D5"/>
      <c r="E5"/>
      <c r="F5"/>
      <c r="G5"/>
      <c r="H5"/>
      <c r="I5"/>
      <c r="J5"/>
      <c r="K5"/>
    </row>
    <row r="6">
      <c r="A6" t="s">
        <v>146</v>
      </c>
      <c r="B6">
        <v>769</v>
      </c>
      <c r="C6"/>
      <c r="D6"/>
      <c r="E6"/>
      <c r="F6"/>
      <c r="G6"/>
      <c r="H6"/>
      <c r="I6"/>
      <c r="J6"/>
      <c r="K6"/>
    </row>
    <row r="7">
      <c r="A7" t="s">
        <v>147</v>
      </c>
      <c r="B7">
        <v>317</v>
      </c>
      <c r="C7"/>
      <c r="D7"/>
      <c r="E7"/>
      <c r="F7"/>
      <c r="G7"/>
      <c r="H7"/>
      <c r="I7"/>
      <c r="J7"/>
      <c r="K7"/>
    </row>
    <row r="8">
      <c r="A8"/>
      <c r="B8"/>
      <c r="C8"/>
      <c r="D8"/>
      <c r="E8"/>
      <c r="F8"/>
      <c r="G8"/>
      <c r="H8"/>
      <c r="I8"/>
      <c r="J8"/>
      <c r="K8"/>
    </row>
    <row r="9">
      <c r="A9" t="s">
        <v>148</v>
      </c>
      <c r="B9"/>
      <c r="C9"/>
      <c r="D9"/>
      <c r="E9"/>
      <c r="F9"/>
      <c r="G9"/>
      <c r="H9"/>
      <c r="I9"/>
      <c r="J9"/>
      <c r="K9"/>
    </row>
    <row r="10">
      <c r="A10" t="s">
        <v>149</v>
      </c>
      <c r="B10">
        <v>439918.3</v>
      </c>
      <c r="C10"/>
      <c r="D10"/>
      <c r="E10"/>
      <c r="F10"/>
      <c r="G10"/>
      <c r="H10"/>
      <c r="I10"/>
      <c r="J10"/>
      <c r="K10"/>
    </row>
    <row r="11">
      <c r="A11" t="s">
        <v>150</v>
      </c>
      <c r="B11">
        <v>319760.05</v>
      </c>
      <c r="C11"/>
      <c r="D11"/>
      <c r="E11"/>
      <c r="F11"/>
      <c r="G11"/>
      <c r="H11"/>
      <c r="I11"/>
      <c r="J11"/>
      <c r="K11"/>
    </row>
    <row r="12">
      <c r="A12" t="s">
        <v>151</v>
      </c>
      <c r="B12">
        <f>B19-B20</f>
      </c>
      <c r="C12"/>
      <c r="D12"/>
      <c r="E12"/>
      <c r="F12"/>
      <c r="G12"/>
      <c r="H12"/>
      <c r="I12"/>
      <c r="J12"/>
      <c r="K12"/>
    </row>
    <row r="13">
      <c r="A13" t="s">
        <v>152</v>
      </c>
      <c r="B13">
        <v>99629.8</v>
      </c>
      <c r="C13"/>
      <c r="D13"/>
      <c r="E13"/>
      <c r="F13"/>
      <c r="G13"/>
      <c r="H13"/>
      <c r="I13"/>
      <c r="J13"/>
      <c r="K13"/>
    </row>
    <row r="14">
      <c r="A14"/>
      <c r="B14"/>
      <c r="C14"/>
      <c r="D14"/>
      <c r="E14"/>
      <c r="F14"/>
      <c r="G14"/>
      <c r="H14"/>
      <c r="I14"/>
      <c r="J14"/>
      <c r="K14"/>
    </row>
    <row r="15">
      <c r="A15" t="s">
        <v>153</v>
      </c>
      <c r="B15"/>
      <c r="C15"/>
      <c r="D15"/>
      <c r="E15"/>
      <c r="F15"/>
      <c r="G15"/>
      <c r="H15"/>
      <c r="I15"/>
      <c r="J15"/>
      <c r="K15"/>
    </row>
    <row r="16">
      <c r="A16" t="s">
        <v>115</v>
      </c>
      <c r="B16" t="s">
        <v>154</v>
      </c>
      <c r="C16" t="s">
        <v>155</v>
      </c>
      <c r="D16" t="s">
        <v>156</v>
      </c>
      <c r="E16" t="s">
        <v>7</v>
      </c>
      <c r="F16"/>
      <c r="G16"/>
      <c r="H16"/>
      <c r="I16"/>
      <c r="J16"/>
      <c r="K16"/>
    </row>
    <row r="17">
      <c r="A17" t="s">
        <v>125</v>
      </c>
      <c r="B17">
        <v>241</v>
      </c>
      <c r="C17">
        <v>164</v>
      </c>
      <c r="D17">
        <v>77</v>
      </c>
      <c r="E17" t="s">
        <v>157</v>
      </c>
      <c r="F17"/>
      <c r="G17"/>
      <c r="H17"/>
      <c r="I17"/>
      <c r="J17"/>
      <c r="K17"/>
    </row>
    <row r="18">
      <c r="A18" t="s">
        <v>158</v>
      </c>
      <c r="B18">
        <v>227</v>
      </c>
      <c r="C18">
        <v>124</v>
      </c>
      <c r="D18">
        <v>103</v>
      </c>
      <c r="E18" t="s">
        <v>157</v>
      </c>
      <c r="F18"/>
      <c r="G18"/>
      <c r="H18"/>
      <c r="I18"/>
      <c r="J18"/>
      <c r="K18"/>
    </row>
    <row r="19">
      <c r="A19" t="s">
        <v>159</v>
      </c>
      <c r="B19">
        <v>215</v>
      </c>
      <c r="C19">
        <v>141</v>
      </c>
      <c r="D19">
        <v>74</v>
      </c>
      <c r="E19" t="s">
        <v>157</v>
      </c>
      <c r="F19"/>
      <c r="G19"/>
      <c r="H19"/>
      <c r="I19"/>
      <c r="J19"/>
      <c r="K19"/>
    </row>
    <row r="20">
      <c r="A20" t="s">
        <v>160</v>
      </c>
      <c r="B20">
        <v>213</v>
      </c>
      <c r="C20">
        <v>156</v>
      </c>
      <c r="D20">
        <v>57</v>
      </c>
      <c r="E20" t="s">
        <v>157</v>
      </c>
      <c r="F20"/>
      <c r="G20"/>
      <c r="H20"/>
      <c r="I20"/>
      <c r="J20"/>
      <c r="K20"/>
    </row>
    <row r="21">
      <c r="A21" t="s">
        <v>161</v>
      </c>
      <c r="B21">
        <v>190</v>
      </c>
      <c r="C21">
        <v>184</v>
      </c>
      <c r="D21">
        <v>6</v>
      </c>
      <c r="E21" t="s">
        <v>157</v>
      </c>
      <c r="F21"/>
      <c r="G21"/>
      <c r="H21"/>
      <c r="I21"/>
      <c r="J21"/>
      <c r="K21"/>
    </row>
    <row r="22">
      <c r="A22" t="s">
        <v>162</v>
      </c>
      <c r="B22">
        <f>SUM(B27:B31)</f>
      </c>
      <c r="C22">
        <f>SUM(C27:C31)</f>
      </c>
      <c r="D22">
        <f>SUM(D27:D31)</f>
      </c>
      <c r="E22"/>
      <c r="F22"/>
      <c r="G22"/>
      <c r="H22"/>
      <c r="I22"/>
      <c r="J22"/>
      <c r="K22"/>
    </row>
    <row r="23">
      <c r="A23"/>
      <c r="B23"/>
      <c r="C23"/>
      <c r="D23"/>
      <c r="E23"/>
      <c r="F23"/>
      <c r="G23"/>
      <c r="H23"/>
      <c r="I23"/>
      <c r="J23"/>
      <c r="K23"/>
    </row>
    <row r="24">
      <c r="A24" t="s">
        <v>163</v>
      </c>
      <c r="B24"/>
      <c r="C24"/>
      <c r="D24"/>
      <c r="E24"/>
      <c r="F24"/>
      <c r="G24"/>
      <c r="H24"/>
      <c r="I24"/>
      <c r="J24"/>
      <c r="K24"/>
    </row>
    <row r="25">
      <c r="A25" t="s">
        <v>164</v>
      </c>
      <c r="B25"/>
      <c r="C25"/>
      <c r="D25"/>
      <c r="E25"/>
      <c r="F25"/>
      <c r="G25"/>
      <c r="H25"/>
      <c r="I25"/>
      <c r="J25"/>
      <c r="K25"/>
    </row>
    <row r="26">
      <c r="A26" t="s">
        <v>165</v>
      </c>
      <c r="B26"/>
      <c r="C26"/>
      <c r="D26"/>
      <c r="E26"/>
      <c r="F26"/>
      <c r="G26"/>
      <c r="H26"/>
      <c r="I26"/>
      <c r="J26"/>
      <c r="K26"/>
    </row>
    <row r="27">
      <c r="A27" t="s">
        <v>166</v>
      </c>
      <c r="B27"/>
      <c r="C27"/>
      <c r="D27"/>
      <c r="E27"/>
      <c r="F27"/>
      <c r="G27"/>
      <c r="H27"/>
      <c r="I27"/>
      <c r="J27"/>
      <c r="K27"/>
    </row>
    <row r="28">
      <c r="A28" t="s">
        <v>167</v>
      </c>
      <c r="B28"/>
      <c r="C28"/>
      <c r="D28"/>
      <c r="E28"/>
      <c r="F28"/>
      <c r="G28"/>
      <c r="H28"/>
      <c r="I28"/>
      <c r="J28"/>
      <c r="K28"/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Data>
    <row r="1">
      <c r="A1" t="s">
        <v>168</v>
      </c>
      <c r="B1"/>
      <c r="C1"/>
      <c r="D1"/>
      <c r="E1"/>
      <c r="F1"/>
      <c r="G1"/>
      <c r="H1"/>
      <c r="I1"/>
      <c r="J1"/>
      <c r="K1"/>
      <c r="L1"/>
      <c r="M1"/>
      <c r="N1"/>
      <c r="O1"/>
    </row>
    <row r="2">
      <c r="A2" t="s">
        <v>169</v>
      </c>
      <c r="B2"/>
      <c r="C2"/>
      <c r="D2"/>
      <c r="E2"/>
      <c r="F2"/>
      <c r="G2"/>
      <c r="H2"/>
      <c r="I2"/>
      <c r="J2"/>
      <c r="K2"/>
      <c r="L2"/>
      <c r="M2"/>
      <c r="N2"/>
      <c r="O2"/>
    </row>
    <row r="3">
      <c r="A3"/>
      <c r="B3"/>
      <c r="C3"/>
      <c r="D3"/>
      <c r="E3"/>
      <c r="F3"/>
      <c r="G3"/>
      <c r="H3"/>
      <c r="I3"/>
      <c r="J3"/>
      <c r="K3"/>
      <c r="L3"/>
      <c r="M3"/>
      <c r="N3"/>
      <c r="O3"/>
    </row>
    <row r="4">
      <c r="A4" t="s">
        <v>170</v>
      </c>
      <c r="B4"/>
      <c r="C4"/>
      <c r="D4"/>
      <c r="E4"/>
      <c r="F4"/>
      <c r="G4"/>
      <c r="H4"/>
      <c r="I4"/>
      <c r="J4"/>
      <c r="K4"/>
      <c r="L4"/>
      <c r="M4"/>
      <c r="N4"/>
      <c r="O4"/>
    </row>
    <row r="5">
      <c r="A5" t="s">
        <v>112</v>
      </c>
      <c r="B5" t="s">
        <v>113</v>
      </c>
      <c r="C5" t="s">
        <v>114</v>
      </c>
      <c r="D5" t="s">
        <v>115</v>
      </c>
      <c r="E5" t="s">
        <v>171</v>
      </c>
      <c r="F5" t="s">
        <v>116</v>
      </c>
      <c r="G5" t="s">
        <v>117</v>
      </c>
      <c r="H5" t="s">
        <v>118</v>
      </c>
      <c r="I5" t="s">
        <v>119</v>
      </c>
      <c r="J5" t="s">
        <v>172</v>
      </c>
      <c r="K5" t="s">
        <v>173</v>
      </c>
      <c r="L5" t="s">
        <v>121</v>
      </c>
      <c r="M5" t="s">
        <v>174</v>
      </c>
      <c r="N5" t="s">
        <v>7</v>
      </c>
      <c r="O5" t="s">
        <v>175</v>
      </c>
      <c r="P5" t="s">
        <v>41</v>
      </c>
    </row>
    <row r="6">
      <c r="A6" t="s">
        <v>122</v>
      </c>
      <c r="B6" t="s">
        <v>123</v>
      </c>
      <c r="C6" t="s">
        <v>124</v>
      </c>
      <c r="D6" t="s">
        <v>125</v>
      </c>
      <c r="E6" t="s">
        <v>176</v>
      </c>
      <c r="F6">
        <v>509.6</v>
      </c>
      <c r="G6">
        <v>509.6</v>
      </c>
      <c r="H6">
        <v>509.6</v>
      </c>
      <c r="I6">
        <v>509.6</v>
      </c>
      <c r="J6">
        <v>0</v>
      </c>
      <c r="K6">
        <v>509.6</v>
      </c>
      <c r="L6">
        <v>2038.4</v>
      </c>
      <c r="M6" t="s">
        <v>177</v>
      </c>
      <c r="N6" t="s">
        <v>178</v>
      </c>
      <c r="O6" t="s">
        <v>179</v>
      </c>
      <c r="P6" t="s">
        <v>180</v>
      </c>
    </row>
    <row r="7">
      <c r="A7" t="s">
        <v>126</v>
      </c>
      <c r="B7" t="s">
        <v>127</v>
      </c>
      <c r="C7" t="s">
        <v>128</v>
      </c>
      <c r="D7" t="s">
        <v>125</v>
      </c>
      <c r="E7" t="s">
        <v>176</v>
      </c>
      <c r="F7">
        <v>384.8</v>
      </c>
      <c r="G7">
        <v>384.8</v>
      </c>
      <c r="H7">
        <v>384.8</v>
      </c>
      <c r="I7">
        <v>384.8</v>
      </c>
      <c r="J7">
        <v>0</v>
      </c>
      <c r="K7">
        <v>384.8</v>
      </c>
      <c r="L7">
        <v>1539.2</v>
      </c>
      <c r="M7" t="s">
        <v>181</v>
      </c>
      <c r="N7" t="s">
        <v>178</v>
      </c>
      <c r="O7" t="s">
        <v>179</v>
      </c>
      <c r="P7" t="s">
        <v>180</v>
      </c>
    </row>
    <row r="8">
      <c r="A8" t="s">
        <v>129</v>
      </c>
      <c r="B8" t="s">
        <v>130</v>
      </c>
      <c r="C8" t="s">
        <v>131</v>
      </c>
      <c r="D8" t="s">
        <v>125</v>
      </c>
      <c r="E8" t="s">
        <v>176</v>
      </c>
      <c r="F8">
        <v>603.2</v>
      </c>
      <c r="G8">
        <v>603.2</v>
      </c>
      <c r="H8">
        <v>603.2</v>
      </c>
      <c r="I8">
        <v>603.2</v>
      </c>
      <c r="J8">
        <v>603.2</v>
      </c>
      <c r="K8">
        <v>1206.4</v>
      </c>
      <c r="L8">
        <v>3016.0</v>
      </c>
      <c r="M8" t="s">
        <v>182</v>
      </c>
      <c r="N8" t="s">
        <v>178</v>
      </c>
      <c r="O8" t="s">
        <v>179</v>
      </c>
      <c r="P8" t="s">
        <v>180</v>
      </c>
    </row>
    <row r="9">
      <c r="A9" t="s">
        <v>132</v>
      </c>
      <c r="B9" t="s">
        <v>133</v>
      </c>
      <c r="C9" t="s">
        <v>134</v>
      </c>
      <c r="D9" t="s">
        <v>125</v>
      </c>
      <c r="E9" t="s">
        <v>176</v>
      </c>
      <c r="F9">
        <v>530.4</v>
      </c>
      <c r="G9">
        <v>530.4</v>
      </c>
      <c r="H9">
        <v>530.4</v>
      </c>
      <c r="I9">
        <v>530.4</v>
      </c>
      <c r="J9">
        <v>0</v>
      </c>
      <c r="K9">
        <v>530.4</v>
      </c>
      <c r="L9">
        <v>2121.6</v>
      </c>
      <c r="M9" t="s">
        <v>183</v>
      </c>
      <c r="N9" t="s">
        <v>178</v>
      </c>
      <c r="O9" t="s">
        <v>179</v>
      </c>
      <c r="P9" t="s">
        <v>180</v>
      </c>
    </row>
    <row r="10">
      <c r="A10" t="s">
        <v>135</v>
      </c>
      <c r="B10" t="s">
        <v>136</v>
      </c>
      <c r="C10" t="s">
        <v>137</v>
      </c>
      <c r="D10" t="s">
        <v>125</v>
      </c>
      <c r="E10" t="s">
        <v>176</v>
      </c>
      <c r="F10">
        <v>488.8</v>
      </c>
      <c r="G10">
        <v>488.8</v>
      </c>
      <c r="H10">
        <v>488.8</v>
      </c>
      <c r="I10">
        <v>488.8</v>
      </c>
      <c r="J10">
        <v>0</v>
      </c>
      <c r="K10">
        <v>488.8</v>
      </c>
      <c r="L10">
        <v>1955.2</v>
      </c>
      <c r="M10" t="s">
        <v>184</v>
      </c>
      <c r="N10" t="s">
        <v>178</v>
      </c>
      <c r="O10" t="s">
        <v>179</v>
      </c>
      <c r="P10" t="s">
        <v>180</v>
      </c>
    </row>
    <row r="11">
      <c r="A11" t="s">
        <v>138</v>
      </c>
      <c r="B11" t="s">
        <v>139</v>
      </c>
      <c r="C11" t="s">
        <v>140</v>
      </c>
      <c r="D11" t="s">
        <v>125</v>
      </c>
      <c r="E11" t="s">
        <v>176</v>
      </c>
      <c r="F11">
        <v>416.0</v>
      </c>
      <c r="G11">
        <v>416.0</v>
      </c>
      <c r="H11">
        <v>416.0</v>
      </c>
      <c r="I11">
        <v>416.0</v>
      </c>
      <c r="J11">
        <v>0</v>
      </c>
      <c r="K11">
        <v>416.0</v>
      </c>
      <c r="L11">
        <v>1664.0</v>
      </c>
      <c r="M11" t="s">
        <v>185</v>
      </c>
      <c r="N11" t="s">
        <v>178</v>
      </c>
      <c r="O11" t="s">
        <v>179</v>
      </c>
      <c r="P11" t="s">
        <v>180</v>
      </c>
    </row>
    <row r="12">
      <c r="A12" t="s">
        <v>162</v>
      </c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</row>
    <row r="1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</row>
    <row r="14">
      <c r="A14" t="s">
        <v>186</v>
      </c>
      <c r="B14"/>
      <c r="C14"/>
      <c r="D14"/>
      <c r="E14"/>
      <c r="F14"/>
      <c r="G14"/>
      <c r="H14"/>
      <c r="I14"/>
      <c r="J14"/>
      <c r="K14"/>
      <c r="L14"/>
      <c r="M14"/>
      <c r="N14"/>
      <c r="O14"/>
    </row>
    <row r="15">
      <c r="A15" t="s">
        <v>187</v>
      </c>
      <c r="B15">
        <v>6</v>
      </c>
      <c r="C15"/>
      <c r="D15"/>
      <c r="E15"/>
      <c r="F15"/>
      <c r="G15"/>
      <c r="H15"/>
      <c r="I15"/>
      <c r="J15"/>
      <c r="K15"/>
      <c r="L15"/>
      <c r="M15"/>
      <c r="N15"/>
      <c r="O15"/>
    </row>
    <row r="16">
      <c r="A16" t="s">
        <v>188</v>
      </c>
      <c r="B16">
        <v>4368.0</v>
      </c>
      <c r="C16"/>
      <c r="D16"/>
      <c r="E16"/>
      <c r="F16"/>
      <c r="G16"/>
      <c r="H16"/>
      <c r="I16"/>
      <c r="J16"/>
      <c r="K16"/>
      <c r="L16"/>
      <c r="M16"/>
      <c r="N16"/>
      <c r="O16"/>
    </row>
    <row r="17">
      <c r="A17" t="s">
        <v>189</v>
      </c>
      <c r="B17">
        <v>260</v>
      </c>
      <c r="C17"/>
      <c r="D17"/>
      <c r="E17"/>
      <c r="F17"/>
      <c r="G17"/>
      <c r="H17"/>
      <c r="I17"/>
      <c r="J17"/>
      <c r="K17"/>
      <c r="L17"/>
      <c r="M17"/>
      <c r="N17"/>
      <c r="O17"/>
    </row>
    <row r="18">
      <c r="A18" t="s">
        <v>190</v>
      </c>
      <c r="B18">
        <v>826</v>
      </c>
      <c r="C18"/>
      <c r="D18"/>
      <c r="E18"/>
      <c r="F18"/>
      <c r="G18"/>
      <c r="H18"/>
      <c r="I18"/>
      <c r="J18"/>
      <c r="K18"/>
      <c r="L18"/>
      <c r="M18"/>
      <c r="N18"/>
      <c r="O18"/>
    </row>
    <row r="19">
      <c r="A19" t="s">
        <v>191</v>
      </c>
      <c r="B19">
        <v>39</v>
      </c>
      <c r="C19"/>
      <c r="D19"/>
      <c r="E19"/>
      <c r="F19"/>
      <c r="G19"/>
      <c r="H19"/>
      <c r="I19"/>
      <c r="J19"/>
      <c r="K19"/>
      <c r="L19"/>
      <c r="M19"/>
      <c r="N19"/>
      <c r="O19"/>
    </row>
    <row r="20">
      <c r="A20" t="s">
        <v>192</v>
      </c>
      <c r="B20">
        <v>17108.0</v>
      </c>
      <c r="C20"/>
      <c r="D20"/>
      <c r="E20"/>
      <c r="F20"/>
      <c r="G20"/>
      <c r="H20"/>
      <c r="I20"/>
      <c r="J20"/>
      <c r="K20"/>
      <c r="L20"/>
      <c r="M20"/>
      <c r="N20"/>
      <c r="O20"/>
    </row>
    <row r="21">
      <c r="A21" t="s">
        <v>193</v>
      </c>
      <c r="B21">
        <v>147836.0</v>
      </c>
      <c r="C21"/>
      <c r="D21"/>
      <c r="E21"/>
      <c r="F21"/>
      <c r="G21"/>
      <c r="H21"/>
      <c r="I21"/>
      <c r="J21"/>
      <c r="K21"/>
      <c r="L21"/>
      <c r="M21"/>
      <c r="N21"/>
      <c r="O21"/>
    </row>
  </sheetData>
</worksheet>
</file>