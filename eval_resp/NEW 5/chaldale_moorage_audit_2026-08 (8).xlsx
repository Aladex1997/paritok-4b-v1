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ueue Exceptions" sheetId="2" state="visible" r:id="rId2"/>
    <sheet xmlns:r="http://schemas.openxmlformats.org/officeDocument/2006/relationships" name="Billing Reconciliations" sheetId="3" state="visible" r:id="rId3"/>
    <sheet xmlns:r="http://schemas.openxmlformats.org/officeDocument/2006/relationships" name="Delinquenc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Chaldale Harbor Marina - Moorage Audit August 2026</t>
        </is>
      </c>
    </row>
    <row r="3">
      <c r="A3" t="inlineStr">
        <is>
          <t>Queue Exceptions Count</t>
        </is>
      </c>
    </row>
    <row r="4">
      <c r="A4" t="inlineStr">
        <is>
          <t>Priority 1</t>
        </is>
      </c>
      <c r="B4">
        <f>COUNTIF('Queue Exceptions'!E:E, "Priority 1")</f>
        <v/>
      </c>
    </row>
    <row r="5">
      <c r="A5" t="inlineStr">
        <is>
          <t>Priority 2</t>
        </is>
      </c>
      <c r="B5">
        <f>COUNTIF('Queue Exceptions'!E:E, "Priority 2")</f>
        <v/>
      </c>
    </row>
    <row r="7">
      <c r="A7" t="inlineStr">
        <is>
          <t>Billing Reconciliations</t>
        </is>
      </c>
    </row>
    <row r="8">
      <c r="A8" t="inlineStr">
        <is>
          <t>Total Variance</t>
        </is>
      </c>
      <c r="B8">
        <f>SUM('Billing Reconciliations'!I:I)</f>
        <v/>
      </c>
    </row>
    <row r="9">
      <c r="A9" t="inlineStr">
        <is>
          <t>Subledger Errors Count</t>
        </is>
      </c>
      <c r="B9">
        <f>COUNTA('Billing Reconciliations'!A:A)-1</f>
        <v/>
      </c>
    </row>
    <row r="11">
      <c r="A11" t="inlineStr">
        <is>
          <t>Delinquencies</t>
        </is>
      </c>
    </row>
    <row r="12">
      <c r="A12" t="inlineStr">
        <is>
          <t>Total Delinquent Balance</t>
        </is>
      </c>
      <c r="B12">
        <f>SUM(Delinquencies!F:F)</f>
        <v/>
      </c>
    </row>
    <row r="13">
      <c r="A13" t="inlineStr">
        <is>
          <t>Delinquent Accounts Count</t>
        </is>
      </c>
      <c r="B13">
        <f>COUNTA(Delinquencies!A:A)-1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Applicant ID</t>
        </is>
      </c>
      <c r="D1" t="inlineStr">
        <is>
          <t>Exception Type</t>
        </is>
      </c>
      <c r="E1" t="inlineStr">
        <is>
          <t>Priority</t>
        </is>
      </c>
    </row>
    <row r="2">
      <c r="A2" t="inlineStr">
        <is>
          <t>SKP-2023-0095</t>
        </is>
      </c>
      <c r="B2" t="inlineStr">
        <is>
          <t>2023-01-08</t>
        </is>
      </c>
      <c r="C2" t="inlineStr">
        <is>
          <t>WL-03099</t>
        </is>
      </c>
      <c r="D2" t="inlineStr">
        <is>
          <t>Skip with no supporting records</t>
        </is>
      </c>
      <c r="E2" t="inlineStr">
        <is>
          <t>Priority 1</t>
        </is>
      </c>
    </row>
    <row r="3">
      <c r="A3" t="inlineStr">
        <is>
          <t>SKP-2023-0096</t>
        </is>
      </c>
      <c r="B3" t="inlineStr">
        <is>
          <t>2023-01-08</t>
        </is>
      </c>
      <c r="C3" t="inlineStr">
        <is>
          <t>WL-02685</t>
        </is>
      </c>
      <c r="D3" t="inlineStr">
        <is>
          <t>Skip with no supporting records</t>
        </is>
      </c>
      <c r="E3" t="inlineStr">
        <is>
          <t>Priority 1</t>
        </is>
      </c>
    </row>
    <row r="4">
      <c r="A4" t="inlineStr">
        <is>
          <t>SKP-2023-0097</t>
        </is>
      </c>
      <c r="B4" t="inlineStr">
        <is>
          <t>2023-01-26</t>
        </is>
      </c>
      <c r="C4" t="inlineStr">
        <is>
          <t>WL-01298</t>
        </is>
      </c>
      <c r="D4" t="inlineStr">
        <is>
          <t>Skip with no supporting records</t>
        </is>
      </c>
      <c r="E4" t="inlineStr">
        <is>
          <t>Priority 1</t>
        </is>
      </c>
    </row>
    <row r="5">
      <c r="A5" t="inlineStr">
        <is>
          <t>SKP-2023-0098</t>
        </is>
      </c>
      <c r="B5" t="inlineStr">
        <is>
          <t>2023-01-08</t>
        </is>
      </c>
      <c r="C5" t="inlineStr">
        <is>
          <t>WL-01959</t>
        </is>
      </c>
      <c r="D5" t="inlineStr">
        <is>
          <t>Skip with no supporting records</t>
        </is>
      </c>
      <c r="E5" t="inlineStr">
        <is>
          <t>Priority 1</t>
        </is>
      </c>
    </row>
    <row r="6">
      <c r="A6" t="inlineStr">
        <is>
          <t>SKP-2023-0099</t>
        </is>
      </c>
      <c r="B6" t="inlineStr">
        <is>
          <t>2023-01-10</t>
        </is>
      </c>
      <c r="C6" t="inlineStr">
        <is>
          <t>WL-01695</t>
        </is>
      </c>
      <c r="D6" t="inlineStr">
        <is>
          <t>Skip with no supporting records</t>
        </is>
      </c>
      <c r="E6" t="inlineStr">
        <is>
          <t>Priority 1</t>
        </is>
      </c>
    </row>
    <row r="7">
      <c r="A7" t="inlineStr">
        <is>
          <t>SKP-2023-0100</t>
        </is>
      </c>
      <c r="B7" t="inlineStr">
        <is>
          <t>2023-02-18</t>
        </is>
      </c>
      <c r="C7" t="inlineStr">
        <is>
          <t>WL-02565</t>
        </is>
      </c>
      <c r="D7" t="inlineStr">
        <is>
          <t>Skip with no supporting records</t>
        </is>
      </c>
      <c r="E7" t="inlineStr">
        <is>
          <t>Priority 1</t>
        </is>
      </c>
    </row>
    <row r="8">
      <c r="A8" t="inlineStr">
        <is>
          <t>SKP-2023-0101</t>
        </is>
      </c>
      <c r="B8" t="inlineStr">
        <is>
          <t>2023-02-19</t>
        </is>
      </c>
      <c r="C8" t="inlineStr">
        <is>
          <t>WL-02664</t>
        </is>
      </c>
      <c r="D8" t="inlineStr">
        <is>
          <t>Skip with no supporting records</t>
        </is>
      </c>
      <c r="E8" t="inlineStr">
        <is>
          <t>Priority 1</t>
        </is>
      </c>
    </row>
    <row r="9">
      <c r="A9" t="inlineStr">
        <is>
          <t>SKP-2023-0102</t>
        </is>
      </c>
      <c r="B9" t="inlineStr">
        <is>
          <t>2023-02-10</t>
        </is>
      </c>
      <c r="C9" t="inlineStr">
        <is>
          <t>WL-03582</t>
        </is>
      </c>
      <c r="D9" t="inlineStr">
        <is>
          <t>Skip with no supporting records</t>
        </is>
      </c>
      <c r="E9" t="inlineStr">
        <is>
          <t>Priority 1</t>
        </is>
      </c>
    </row>
    <row r="10">
      <c r="A10" t="inlineStr">
        <is>
          <t>SKP-2023-0103</t>
        </is>
      </c>
      <c r="B10" t="inlineStr">
        <is>
          <t>2023-02-17</t>
        </is>
      </c>
      <c r="C10" t="inlineStr">
        <is>
          <t>WL-02918</t>
        </is>
      </c>
      <c r="D10" t="inlineStr">
        <is>
          <t>Skip with no supporting records</t>
        </is>
      </c>
      <c r="E10" t="inlineStr">
        <is>
          <t>Priority 1</t>
        </is>
      </c>
    </row>
    <row r="11">
      <c r="A11" t="inlineStr">
        <is>
          <t>SKP-2023-0104</t>
        </is>
      </c>
      <c r="B11" t="inlineStr">
        <is>
          <t>2023-03-15</t>
        </is>
      </c>
      <c r="C11" t="inlineStr">
        <is>
          <t>WL-03523</t>
        </is>
      </c>
      <c r="D11" t="inlineStr">
        <is>
          <t>Skip with no supporting records</t>
        </is>
      </c>
      <c r="E11" t="inlineStr">
        <is>
          <t>Priority 1</t>
        </is>
      </c>
    </row>
    <row r="12">
      <c r="A12" t="inlineStr">
        <is>
          <t>SKP-2023-0105</t>
        </is>
      </c>
      <c r="B12" t="inlineStr">
        <is>
          <t>2023-03-06</t>
        </is>
      </c>
      <c r="C12" t="inlineStr">
        <is>
          <t>WL-02366</t>
        </is>
      </c>
      <c r="D12" t="inlineStr">
        <is>
          <t>Skip with no supporting records</t>
        </is>
      </c>
      <c r="E12" t="inlineStr">
        <is>
          <t>Priority 1</t>
        </is>
      </c>
    </row>
    <row r="13">
      <c r="A13" t="inlineStr">
        <is>
          <t>SKP-2023-0106</t>
        </is>
      </c>
      <c r="B13" t="inlineStr">
        <is>
          <t>2023-03-27</t>
        </is>
      </c>
      <c r="C13" t="inlineStr">
        <is>
          <t>WL-01388</t>
        </is>
      </c>
      <c r="D13" t="inlineStr">
        <is>
          <t>Skip with no supporting records</t>
        </is>
      </c>
      <c r="E13" t="inlineStr">
        <is>
          <t>Priority 1</t>
        </is>
      </c>
    </row>
    <row r="14">
      <c r="A14" t="inlineStr">
        <is>
          <t>SKP-2023-0107</t>
        </is>
      </c>
      <c r="B14" t="inlineStr">
        <is>
          <t>2023-03-10</t>
        </is>
      </c>
      <c r="C14" t="inlineStr">
        <is>
          <t>WL-01984</t>
        </is>
      </c>
      <c r="D14" t="inlineStr">
        <is>
          <t>Skip with no supporting records</t>
        </is>
      </c>
      <c r="E14" t="inlineStr">
        <is>
          <t>Priority 1</t>
        </is>
      </c>
    </row>
    <row r="15">
      <c r="A15" t="inlineStr">
        <is>
          <t>SKP-2023-0108</t>
        </is>
      </c>
      <c r="B15" t="inlineStr">
        <is>
          <t>2023-03-21</t>
        </is>
      </c>
      <c r="C15" t="inlineStr">
        <is>
          <t>WL-01649</t>
        </is>
      </c>
      <c r="D15" t="inlineStr">
        <is>
          <t>Skip with no supporting records</t>
        </is>
      </c>
      <c r="E15" t="inlineStr">
        <is>
          <t>Priority 1</t>
        </is>
      </c>
    </row>
    <row r="16">
      <c r="A16" t="inlineStr">
        <is>
          <t>SKP-2023-0109</t>
        </is>
      </c>
      <c r="B16" t="inlineStr">
        <is>
          <t>2023-03-25</t>
        </is>
      </c>
      <c r="C16" t="inlineStr">
        <is>
          <t>WL-03535</t>
        </is>
      </c>
      <c r="D16" t="inlineStr">
        <is>
          <t>Skip with no supporting records</t>
        </is>
      </c>
      <c r="E16" t="inlineStr">
        <is>
          <t>Priority 1</t>
        </is>
      </c>
    </row>
    <row r="17">
      <c r="A17" t="inlineStr">
        <is>
          <t>SKP-2023-0110</t>
        </is>
      </c>
      <c r="B17" t="inlineStr">
        <is>
          <t>2023-04-20</t>
        </is>
      </c>
      <c r="C17" t="inlineStr">
        <is>
          <t>WL-01473</t>
        </is>
      </c>
      <c r="D17" t="inlineStr">
        <is>
          <t>Skip with no supporting records</t>
        </is>
      </c>
      <c r="E17" t="inlineStr">
        <is>
          <t>Priority 1</t>
        </is>
      </c>
    </row>
    <row r="18">
      <c r="A18" t="inlineStr">
        <is>
          <t>SKP-2023-0111</t>
        </is>
      </c>
      <c r="B18" t="inlineStr">
        <is>
          <t>2023-04-20</t>
        </is>
      </c>
      <c r="C18" t="inlineStr">
        <is>
          <t>WL-02941</t>
        </is>
      </c>
      <c r="D18" t="inlineStr">
        <is>
          <t>Skip with no supporting records</t>
        </is>
      </c>
      <c r="E18" t="inlineStr">
        <is>
          <t>Priority 1</t>
        </is>
      </c>
    </row>
    <row r="19">
      <c r="A19" t="inlineStr">
        <is>
          <t>SKP-2023-0112</t>
        </is>
      </c>
      <c r="B19" t="inlineStr">
        <is>
          <t>2023-04-03</t>
        </is>
      </c>
      <c r="C19" t="inlineStr">
        <is>
          <t>WL-03014</t>
        </is>
      </c>
      <c r="D19" t="inlineStr">
        <is>
          <t>Skip with no supporting records</t>
        </is>
      </c>
      <c r="E19" t="inlineStr">
        <is>
          <t>Priority 1</t>
        </is>
      </c>
    </row>
    <row r="20">
      <c r="A20" t="inlineStr">
        <is>
          <t>SKP-2023-0113</t>
        </is>
      </c>
      <c r="B20" t="inlineStr">
        <is>
          <t>2023-04-09</t>
        </is>
      </c>
      <c r="C20" t="inlineStr">
        <is>
          <t>WL-01886</t>
        </is>
      </c>
      <c r="D20" t="inlineStr">
        <is>
          <t>Skip with no supporting records</t>
        </is>
      </c>
      <c r="E20" t="inlineStr">
        <is>
          <t>Priority 1</t>
        </is>
      </c>
    </row>
    <row r="21">
      <c r="A21" t="inlineStr">
        <is>
          <t>SKP-2023-0114</t>
        </is>
      </c>
      <c r="B21" t="inlineStr">
        <is>
          <t>2023-04-11</t>
        </is>
      </c>
      <c r="C21" t="inlineStr">
        <is>
          <t>WL-02074</t>
        </is>
      </c>
      <c r="D21" t="inlineStr">
        <is>
          <t>Skip with no supporting records</t>
        </is>
      </c>
      <c r="E21" t="inlineStr">
        <is>
          <t>Priority 1</t>
        </is>
      </c>
    </row>
    <row r="22">
      <c r="A22" t="inlineStr">
        <is>
          <t>SKP-2023-0115</t>
        </is>
      </c>
      <c r="B22" t="inlineStr">
        <is>
          <t>2023-04-08</t>
        </is>
      </c>
      <c r="C22" t="inlineStr">
        <is>
          <t>WL-01145</t>
        </is>
      </c>
      <c r="D22" t="inlineStr">
        <is>
          <t>Skip with no supporting records</t>
        </is>
      </c>
      <c r="E22" t="inlineStr">
        <is>
          <t>Priority 1</t>
        </is>
      </c>
    </row>
    <row r="23">
      <c r="A23" t="inlineStr">
        <is>
          <t>SKP-2023-0116</t>
        </is>
      </c>
      <c r="B23" t="inlineStr">
        <is>
          <t>2023-04-28</t>
        </is>
      </c>
      <c r="C23" t="inlineStr">
        <is>
          <t>WL-01274</t>
        </is>
      </c>
      <c r="D23" t="inlineStr">
        <is>
          <t>Skip with no supporting records</t>
        </is>
      </c>
      <c r="E23" t="inlineStr">
        <is>
          <t>Priority 1</t>
        </is>
      </c>
    </row>
    <row r="24">
      <c r="A24" t="inlineStr">
        <is>
          <t>SKP-2023-0117</t>
        </is>
      </c>
      <c r="B24" t="inlineStr">
        <is>
          <t>2023-04-02</t>
        </is>
      </c>
      <c r="C24" t="inlineStr">
        <is>
          <t>WL-01089</t>
        </is>
      </c>
      <c r="D24" t="inlineStr">
        <is>
          <t>Skip with no supporting records</t>
        </is>
      </c>
      <c r="E24" t="inlineStr">
        <is>
          <t>Priority 1</t>
        </is>
      </c>
    </row>
    <row r="25">
      <c r="A25" t="inlineStr">
        <is>
          <t>SKP-2023-0118</t>
        </is>
      </c>
      <c r="B25" t="inlineStr">
        <is>
          <t>2023-05-13</t>
        </is>
      </c>
      <c r="C25" t="inlineStr">
        <is>
          <t>WL-02485</t>
        </is>
      </c>
      <c r="D25" t="inlineStr">
        <is>
          <t>Skip with no supporting records</t>
        </is>
      </c>
      <c r="E25" t="inlineStr">
        <is>
          <t>Priority 1</t>
        </is>
      </c>
    </row>
    <row r="26">
      <c r="A26" t="inlineStr">
        <is>
          <t>SKP-2023-0119</t>
        </is>
      </c>
      <c r="B26" t="inlineStr">
        <is>
          <t>2023-05-05</t>
        </is>
      </c>
      <c r="C26" t="inlineStr">
        <is>
          <t>WL-03151</t>
        </is>
      </c>
      <c r="D26" t="inlineStr">
        <is>
          <t>Skip with no supporting records</t>
        </is>
      </c>
      <c r="E26" t="inlineStr">
        <is>
          <t>Priority 1</t>
        </is>
      </c>
    </row>
    <row r="27">
      <c r="A27" t="inlineStr">
        <is>
          <t>SKP-2023-0120</t>
        </is>
      </c>
      <c r="B27" t="inlineStr">
        <is>
          <t>2023-05-02</t>
        </is>
      </c>
      <c r="C27" t="inlineStr">
        <is>
          <t>WL-01469</t>
        </is>
      </c>
      <c r="D27" t="inlineStr">
        <is>
          <t>Skip with no supporting records</t>
        </is>
      </c>
      <c r="E27" t="inlineStr">
        <is>
          <t>Priority 1</t>
        </is>
      </c>
    </row>
    <row r="28">
      <c r="A28" t="inlineStr">
        <is>
          <t>SKP-2023-0121</t>
        </is>
      </c>
      <c r="B28" t="inlineStr">
        <is>
          <t>2023-05-12</t>
        </is>
      </c>
      <c r="C28" t="inlineStr">
        <is>
          <t>WL-03181</t>
        </is>
      </c>
      <c r="D28" t="inlineStr">
        <is>
          <t>Skip with no supporting records</t>
        </is>
      </c>
      <c r="E28" t="inlineStr">
        <is>
          <t>Priority 1</t>
        </is>
      </c>
    </row>
    <row r="29">
      <c r="A29" t="inlineStr">
        <is>
          <t>SKP-2023-0122</t>
        </is>
      </c>
      <c r="B29" t="inlineStr">
        <is>
          <t>2023-05-20</t>
        </is>
      </c>
      <c r="C29" t="inlineStr">
        <is>
          <t>WL-03816</t>
        </is>
      </c>
      <c r="D29" t="inlineStr">
        <is>
          <t>Skip with no supporting records</t>
        </is>
      </c>
      <c r="E29" t="inlineStr">
        <is>
          <t>Priority 1</t>
        </is>
      </c>
    </row>
    <row r="30">
      <c r="A30" t="inlineStr">
        <is>
          <t>SKP-2023-0123</t>
        </is>
      </c>
      <c r="B30" t="inlineStr">
        <is>
          <t>2023-05-21</t>
        </is>
      </c>
      <c r="C30" t="inlineStr">
        <is>
          <t>WL-03712</t>
        </is>
      </c>
      <c r="D30" t="inlineStr">
        <is>
          <t>Skip with no supporting records</t>
        </is>
      </c>
      <c r="E30" t="inlineStr">
        <is>
          <t>Priority 1</t>
        </is>
      </c>
    </row>
    <row r="31">
      <c r="A31" t="inlineStr">
        <is>
          <t>SKP-2023-0124</t>
        </is>
      </c>
      <c r="B31" t="inlineStr">
        <is>
          <t>2023-05-19</t>
        </is>
      </c>
      <c r="C31" t="inlineStr">
        <is>
          <t>WL-02100</t>
        </is>
      </c>
      <c r="D31" t="inlineStr">
        <is>
          <t>Skip with no supporting records</t>
        </is>
      </c>
      <c r="E31" t="inlineStr">
        <is>
          <t>Priority 1</t>
        </is>
      </c>
    </row>
    <row r="32">
      <c r="A32" t="inlineStr">
        <is>
          <t>SKP-2023-0125</t>
        </is>
      </c>
      <c r="B32" t="inlineStr">
        <is>
          <t>2023-05-21</t>
        </is>
      </c>
      <c r="C32" t="inlineStr">
        <is>
          <t>WL-02777</t>
        </is>
      </c>
      <c r="D32" t="inlineStr">
        <is>
          <t>Skip with no supporting records</t>
        </is>
      </c>
      <c r="E32" t="inlineStr">
        <is>
          <t>Priority 1</t>
        </is>
      </c>
    </row>
    <row r="33">
      <c r="A33" t="inlineStr">
        <is>
          <t>SKP-2023-0126</t>
        </is>
      </c>
      <c r="B33" t="inlineStr">
        <is>
          <t>2023-05-10</t>
        </is>
      </c>
      <c r="C33" t="inlineStr">
        <is>
          <t>WL-02134</t>
        </is>
      </c>
      <c r="D33" t="inlineStr">
        <is>
          <t>Skip with no supporting records</t>
        </is>
      </c>
      <c r="E33" t="inlineStr">
        <is>
          <t>Priority 1</t>
        </is>
      </c>
    </row>
    <row r="34">
      <c r="A34" t="inlineStr">
        <is>
          <t>SKP-2023-0127</t>
        </is>
      </c>
      <c r="B34" t="inlineStr">
        <is>
          <t>2023-05-21</t>
        </is>
      </c>
      <c r="C34" t="inlineStr">
        <is>
          <t>WL-01420</t>
        </is>
      </c>
      <c r="D34" t="inlineStr">
        <is>
          <t>Skip with no supporting records</t>
        </is>
      </c>
      <c r="E34" t="inlineStr">
        <is>
          <t>Priority 1</t>
        </is>
      </c>
    </row>
    <row r="35">
      <c r="A35" t="inlineStr">
        <is>
          <t>SKP-2023-0128</t>
        </is>
      </c>
      <c r="B35" t="inlineStr">
        <is>
          <t>2023-05-04</t>
        </is>
      </c>
      <c r="C35" t="inlineStr">
        <is>
          <t>WL-03537</t>
        </is>
      </c>
      <c r="D35" t="inlineStr">
        <is>
          <t>Skip with no supporting records</t>
        </is>
      </c>
      <c r="E35" t="inlineStr">
        <is>
          <t>Priority 1</t>
        </is>
      </c>
    </row>
    <row r="36">
      <c r="A36" t="inlineStr">
        <is>
          <t>SKP-2023-0129</t>
        </is>
      </c>
      <c r="B36" t="inlineStr">
        <is>
          <t>2023-05-02</t>
        </is>
      </c>
      <c r="C36" t="inlineStr">
        <is>
          <t>WL-03178</t>
        </is>
      </c>
      <c r="D36" t="inlineStr">
        <is>
          <t>Skip with no supporting records</t>
        </is>
      </c>
      <c r="E36" t="inlineStr">
        <is>
          <t>Priority 1</t>
        </is>
      </c>
    </row>
    <row r="37">
      <c r="A37" t="inlineStr">
        <is>
          <t>SKP-2023-0130</t>
        </is>
      </c>
      <c r="B37" t="inlineStr">
        <is>
          <t>2023-06-12</t>
        </is>
      </c>
      <c r="C37" t="inlineStr">
        <is>
          <t>WL-02924</t>
        </is>
      </c>
      <c r="D37" t="inlineStr">
        <is>
          <t>Skip with no supporting records</t>
        </is>
      </c>
      <c r="E37" t="inlineStr">
        <is>
          <t>Priority 1</t>
        </is>
      </c>
    </row>
    <row r="38">
      <c r="A38" t="inlineStr">
        <is>
          <t>SKP-2023-0131</t>
        </is>
      </c>
      <c r="B38" t="inlineStr">
        <is>
          <t>2023-06-15</t>
        </is>
      </c>
      <c r="C38" t="inlineStr">
        <is>
          <t>WL-01781</t>
        </is>
      </c>
      <c r="D38" t="inlineStr">
        <is>
          <t>Skip with no supporting records</t>
        </is>
      </c>
      <c r="E38" t="inlineStr">
        <is>
          <t>Priority 1</t>
        </is>
      </c>
    </row>
    <row r="39">
      <c r="A39" t="inlineStr">
        <is>
          <t>SKP-2023-0132</t>
        </is>
      </c>
      <c r="B39" t="inlineStr">
        <is>
          <t>2023-06-08</t>
        </is>
      </c>
      <c r="C39" t="inlineStr">
        <is>
          <t>WL-01193</t>
        </is>
      </c>
      <c r="D39" t="inlineStr">
        <is>
          <t>Skip with no supporting records</t>
        </is>
      </c>
      <c r="E39" t="inlineStr">
        <is>
          <t>Priority 1</t>
        </is>
      </c>
    </row>
    <row r="40">
      <c r="A40" t="inlineStr">
        <is>
          <t>SKP-2023-0133</t>
        </is>
      </c>
      <c r="B40" t="inlineStr">
        <is>
          <t>2023-06-10</t>
        </is>
      </c>
      <c r="C40" t="inlineStr">
        <is>
          <t>WL-01319</t>
        </is>
      </c>
      <c r="D40" t="inlineStr">
        <is>
          <t>Skip with no supporting records</t>
        </is>
      </c>
      <c r="E40" t="inlineStr">
        <is>
          <t>Priority 1</t>
        </is>
      </c>
    </row>
    <row r="41">
      <c r="A41" t="inlineStr">
        <is>
          <t>SKP-2023-0134</t>
        </is>
      </c>
      <c r="B41" t="inlineStr">
        <is>
          <t>2023-06-24</t>
        </is>
      </c>
      <c r="C41" t="inlineStr">
        <is>
          <t>WL-02173</t>
        </is>
      </c>
      <c r="D41" t="inlineStr">
        <is>
          <t>Skip with no supporting records</t>
        </is>
      </c>
      <c r="E41" t="inlineStr">
        <is>
          <t>Priority 1</t>
        </is>
      </c>
    </row>
    <row r="42">
      <c r="A42" t="inlineStr">
        <is>
          <t>SKP-2023-0135</t>
        </is>
      </c>
      <c r="B42" t="inlineStr">
        <is>
          <t>2023-06-25</t>
        </is>
      </c>
      <c r="C42" t="inlineStr">
        <is>
          <t>WL-01568</t>
        </is>
      </c>
      <c r="D42" t="inlineStr">
        <is>
          <t>Skip with no supporting records</t>
        </is>
      </c>
      <c r="E42" t="inlineStr">
        <is>
          <t>Priority 1</t>
        </is>
      </c>
    </row>
    <row r="43">
      <c r="A43" t="inlineStr">
        <is>
          <t>SKP-2023-0136</t>
        </is>
      </c>
      <c r="B43" t="inlineStr">
        <is>
          <t>2023-06-08</t>
        </is>
      </c>
      <c r="C43" t="inlineStr">
        <is>
          <t>WL-03758</t>
        </is>
      </c>
      <c r="D43" t="inlineStr">
        <is>
          <t>Skip with no supporting records</t>
        </is>
      </c>
      <c r="E43" t="inlineStr">
        <is>
          <t>Priority 1</t>
        </is>
      </c>
    </row>
    <row r="44">
      <c r="A44" t="inlineStr">
        <is>
          <t>SKP-2023-0137</t>
        </is>
      </c>
      <c r="B44" t="inlineStr">
        <is>
          <t>2023-06-07</t>
        </is>
      </c>
      <c r="C44" t="inlineStr">
        <is>
          <t>WL-02535</t>
        </is>
      </c>
      <c r="D44" t="inlineStr">
        <is>
          <t>Skip with no supporting records</t>
        </is>
      </c>
      <c r="E44" t="inlineStr">
        <is>
          <t>Priority 1</t>
        </is>
      </c>
    </row>
    <row r="45">
      <c r="A45" t="inlineStr">
        <is>
          <t>SKP-2023-0138</t>
        </is>
      </c>
      <c r="B45" t="inlineStr">
        <is>
          <t>2023-06-13</t>
        </is>
      </c>
      <c r="C45" t="inlineStr">
        <is>
          <t>WL-02663</t>
        </is>
      </c>
      <c r="D45" t="inlineStr">
        <is>
          <t>Skip with no supporting records</t>
        </is>
      </c>
      <c r="E45" t="inlineStr">
        <is>
          <t>Priority 1</t>
        </is>
      </c>
    </row>
    <row r="46">
      <c r="A46" t="inlineStr">
        <is>
          <t>SKP-2023-0139</t>
        </is>
      </c>
      <c r="B46" t="inlineStr">
        <is>
          <t>2023-06-09</t>
        </is>
      </c>
      <c r="C46" t="inlineStr">
        <is>
          <t>WL-01129</t>
        </is>
      </c>
      <c r="D46" t="inlineStr">
        <is>
          <t>Skip with no supporting records</t>
        </is>
      </c>
      <c r="E46" t="inlineStr">
        <is>
          <t>Priority 1</t>
        </is>
      </c>
    </row>
    <row r="47">
      <c r="A47" t="inlineStr">
        <is>
          <t>SKP-2023-0140</t>
        </is>
      </c>
      <c r="B47" t="inlineStr">
        <is>
          <t>2023-06-12</t>
        </is>
      </c>
      <c r="C47" t="inlineStr">
        <is>
          <t>WL-03100</t>
        </is>
      </c>
      <c r="D47" t="inlineStr">
        <is>
          <t>Skip with no supporting records</t>
        </is>
      </c>
      <c r="E47" t="inlineStr">
        <is>
          <t>Priority 1</t>
        </is>
      </c>
    </row>
    <row r="48">
      <c r="A48" t="inlineStr">
        <is>
          <t>SKP-2023-0141</t>
        </is>
      </c>
      <c r="B48" t="inlineStr">
        <is>
          <t>2023-07-04</t>
        </is>
      </c>
      <c r="C48" t="inlineStr">
        <is>
          <t>WL-03857</t>
        </is>
      </c>
      <c r="D48" t="inlineStr">
        <is>
          <t>Skip with no supporting records</t>
        </is>
      </c>
      <c r="E48" t="inlineStr">
        <is>
          <t>Priority 1</t>
        </is>
      </c>
    </row>
    <row r="49">
      <c r="A49" t="inlineStr">
        <is>
          <t>SKP-2023-0142</t>
        </is>
      </c>
      <c r="B49" t="inlineStr">
        <is>
          <t>2023-07-15</t>
        </is>
      </c>
      <c r="C49" t="inlineStr">
        <is>
          <t>WL-01054</t>
        </is>
      </c>
      <c r="D49" t="inlineStr">
        <is>
          <t>Skip with no supporting records</t>
        </is>
      </c>
      <c r="E49" t="inlineStr">
        <is>
          <t>Priority 1</t>
        </is>
      </c>
    </row>
    <row r="50">
      <c r="A50" t="inlineStr">
        <is>
          <t>SKP-2023-0143</t>
        </is>
      </c>
      <c r="B50" t="inlineStr">
        <is>
          <t>2023-07-03</t>
        </is>
      </c>
      <c r="C50" t="inlineStr">
        <is>
          <t>WL-01712</t>
        </is>
      </c>
      <c r="D50" t="inlineStr">
        <is>
          <t>Skip with no supporting records</t>
        </is>
      </c>
      <c r="E50" t="inlineStr">
        <is>
          <t>Priority 1</t>
        </is>
      </c>
    </row>
    <row r="51">
      <c r="A51" t="inlineStr">
        <is>
          <t>SKP-2023-0144</t>
        </is>
      </c>
      <c r="B51" t="inlineStr">
        <is>
          <t>2023-07-07</t>
        </is>
      </c>
      <c r="C51" t="inlineStr">
        <is>
          <t>WL-02160</t>
        </is>
      </c>
      <c r="D51" t="inlineStr">
        <is>
          <t>Skip with no supporting records</t>
        </is>
      </c>
      <c r="E51" t="inlineStr">
        <is>
          <t>Priority 1</t>
        </is>
      </c>
    </row>
    <row r="52">
      <c r="A52" t="inlineStr">
        <is>
          <t>SKP-2023-0145</t>
        </is>
      </c>
      <c r="B52" t="inlineStr">
        <is>
          <t>2023-07-09</t>
        </is>
      </c>
      <c r="C52" t="inlineStr">
        <is>
          <t>WL-01242</t>
        </is>
      </c>
      <c r="D52" t="inlineStr">
        <is>
          <t>Skip with no supporting records</t>
        </is>
      </c>
      <c r="E52" t="inlineStr">
        <is>
          <t>Priority 1</t>
        </is>
      </c>
    </row>
    <row r="53">
      <c r="A53" t="inlineStr">
        <is>
          <t>SKP-2023-0146</t>
        </is>
      </c>
      <c r="B53" t="inlineStr">
        <is>
          <t>2023-07-24</t>
        </is>
      </c>
      <c r="C53" t="inlineStr">
        <is>
          <t>WL-02199</t>
        </is>
      </c>
      <c r="D53" t="inlineStr">
        <is>
          <t>Skip with no supporting records</t>
        </is>
      </c>
      <c r="E53" t="inlineStr">
        <is>
          <t>Priority 1</t>
        </is>
      </c>
    </row>
    <row r="54">
      <c r="A54" t="inlineStr">
        <is>
          <t>SKP-2023-0147</t>
        </is>
      </c>
      <c r="B54" t="inlineStr">
        <is>
          <t>2023-07-26</t>
        </is>
      </c>
      <c r="C54" t="inlineStr">
        <is>
          <t>WL-01248</t>
        </is>
      </c>
      <c r="D54" t="inlineStr">
        <is>
          <t>Skip with no supporting records</t>
        </is>
      </c>
      <c r="E54" t="inlineStr">
        <is>
          <t>Priority 1</t>
        </is>
      </c>
    </row>
    <row r="55">
      <c r="A55" t="inlineStr">
        <is>
          <t>SKP-2023-0148</t>
        </is>
      </c>
      <c r="B55" t="inlineStr">
        <is>
          <t>2023-07-11</t>
        </is>
      </c>
      <c r="C55" t="inlineStr">
        <is>
          <t>WL-02206</t>
        </is>
      </c>
      <c r="D55" t="inlineStr">
        <is>
          <t>Skip with no supporting records</t>
        </is>
      </c>
      <c r="E55" t="inlineStr">
        <is>
          <t>Priority 1</t>
        </is>
      </c>
    </row>
    <row r="56">
      <c r="A56" t="inlineStr">
        <is>
          <t>SKP-2023-0149</t>
        </is>
      </c>
      <c r="B56" t="inlineStr">
        <is>
          <t>2023-07-26</t>
        </is>
      </c>
      <c r="C56" t="inlineStr">
        <is>
          <t>WL-02706</t>
        </is>
      </c>
      <c r="D56" t="inlineStr">
        <is>
          <t>Skip with no supporting records</t>
        </is>
      </c>
      <c r="E56" t="inlineStr">
        <is>
          <t>Priority 1</t>
        </is>
      </c>
    </row>
    <row r="57">
      <c r="A57" t="inlineStr">
        <is>
          <t>SKP-2023-0150</t>
        </is>
      </c>
      <c r="B57" t="inlineStr">
        <is>
          <t>2023-07-03</t>
        </is>
      </c>
      <c r="C57" t="inlineStr">
        <is>
          <t>WL-01924</t>
        </is>
      </c>
      <c r="D57" t="inlineStr">
        <is>
          <t>Skip with no supporting records</t>
        </is>
      </c>
      <c r="E57" t="inlineStr">
        <is>
          <t>Priority 1</t>
        </is>
      </c>
    </row>
    <row r="58">
      <c r="A58" t="inlineStr">
        <is>
          <t>SKP-2023-0151</t>
        </is>
      </c>
      <c r="B58" t="inlineStr">
        <is>
          <t>2023-07-27</t>
        </is>
      </c>
      <c r="C58" t="inlineStr">
        <is>
          <t>WL-03652</t>
        </is>
      </c>
      <c r="D58" t="inlineStr">
        <is>
          <t>Skip with no supporting records</t>
        </is>
      </c>
      <c r="E58" t="inlineStr">
        <is>
          <t>Priority 1</t>
        </is>
      </c>
    </row>
    <row r="59">
      <c r="A59" t="inlineStr">
        <is>
          <t>SKP-2023-0152</t>
        </is>
      </c>
      <c r="B59" t="inlineStr">
        <is>
          <t>2023-07-20</t>
        </is>
      </c>
      <c r="C59" t="inlineStr">
        <is>
          <t>WL-03411</t>
        </is>
      </c>
      <c r="D59" t="inlineStr">
        <is>
          <t>Skip with no supporting records</t>
        </is>
      </c>
      <c r="E59" t="inlineStr">
        <is>
          <t>Priority 1</t>
        </is>
      </c>
    </row>
    <row r="60">
      <c r="A60" t="inlineStr">
        <is>
          <t>SKP-2023-0153</t>
        </is>
      </c>
      <c r="B60" t="inlineStr">
        <is>
          <t>2023-08-06</t>
        </is>
      </c>
      <c r="C60" t="inlineStr">
        <is>
          <t>WL-01029</t>
        </is>
      </c>
      <c r="D60" t="inlineStr">
        <is>
          <t>Skip with no supporting records</t>
        </is>
      </c>
      <c r="E60" t="inlineStr">
        <is>
          <t>Priority 1</t>
        </is>
      </c>
    </row>
    <row r="61">
      <c r="A61" t="inlineStr">
        <is>
          <t>SKP-2023-0154</t>
        </is>
      </c>
      <c r="B61" t="inlineStr">
        <is>
          <t>2023-08-16</t>
        </is>
      </c>
      <c r="C61" t="inlineStr">
        <is>
          <t>WL-01847</t>
        </is>
      </c>
      <c r="D61" t="inlineStr">
        <is>
          <t>Skip with no supporting records</t>
        </is>
      </c>
      <c r="E61" t="inlineStr">
        <is>
          <t>Priority 1</t>
        </is>
      </c>
    </row>
    <row r="62">
      <c r="A62" t="inlineStr">
        <is>
          <t>SKP-2023-0155</t>
        </is>
      </c>
      <c r="B62" t="inlineStr">
        <is>
          <t>2023-08-09</t>
        </is>
      </c>
      <c r="C62" t="inlineStr">
        <is>
          <t>WL-01297</t>
        </is>
      </c>
      <c r="D62" t="inlineStr">
        <is>
          <t>Skip with no supporting records</t>
        </is>
      </c>
      <c r="E62" t="inlineStr">
        <is>
          <t>Priority 1</t>
        </is>
      </c>
    </row>
    <row r="63">
      <c r="A63" t="inlineStr">
        <is>
          <t>SKP-2023-0156</t>
        </is>
      </c>
      <c r="B63" t="inlineStr">
        <is>
          <t>2023-08-02</t>
        </is>
      </c>
      <c r="C63" t="inlineStr">
        <is>
          <t>WL-02603</t>
        </is>
      </c>
      <c r="D63" t="inlineStr">
        <is>
          <t>Skip with no supporting records</t>
        </is>
      </c>
      <c r="E63" t="inlineStr">
        <is>
          <t>Priority 1</t>
        </is>
      </c>
    </row>
    <row r="64">
      <c r="A64" t="inlineStr">
        <is>
          <t>SKP-2023-0157</t>
        </is>
      </c>
      <c r="B64" t="inlineStr">
        <is>
          <t>2023-08-22</t>
        </is>
      </c>
      <c r="C64" t="inlineStr">
        <is>
          <t>WL-03153</t>
        </is>
      </c>
      <c r="D64" t="inlineStr">
        <is>
          <t>Skip with no supporting records</t>
        </is>
      </c>
      <c r="E64" t="inlineStr">
        <is>
          <t>Priority 1</t>
        </is>
      </c>
    </row>
    <row r="65">
      <c r="A65" t="inlineStr">
        <is>
          <t>SKP-2023-0158</t>
        </is>
      </c>
      <c r="B65" t="inlineStr">
        <is>
          <t>2023-08-22</t>
        </is>
      </c>
      <c r="C65" t="inlineStr">
        <is>
          <t>WL-02650</t>
        </is>
      </c>
      <c r="D65" t="inlineStr">
        <is>
          <t>Skip with no supporting records</t>
        </is>
      </c>
      <c r="E65" t="inlineStr">
        <is>
          <t>Priority 1</t>
        </is>
      </c>
    </row>
    <row r="66">
      <c r="A66" t="inlineStr">
        <is>
          <t>SKP-2023-0159</t>
        </is>
      </c>
      <c r="B66" t="inlineStr">
        <is>
          <t>2023-08-10</t>
        </is>
      </c>
      <c r="C66" t="inlineStr">
        <is>
          <t>WL-01360</t>
        </is>
      </c>
      <c r="D66" t="inlineStr">
        <is>
          <t>Skip with no supporting records</t>
        </is>
      </c>
      <c r="E66" t="inlineStr">
        <is>
          <t>Priority 1</t>
        </is>
      </c>
    </row>
    <row r="67">
      <c r="A67" t="inlineStr">
        <is>
          <t>SKP-2023-0160</t>
        </is>
      </c>
      <c r="B67" t="inlineStr">
        <is>
          <t>2023-08-05</t>
        </is>
      </c>
      <c r="C67" t="inlineStr">
        <is>
          <t>WL-01367</t>
        </is>
      </c>
      <c r="D67" t="inlineStr">
        <is>
          <t>Skip with no supporting records</t>
        </is>
      </c>
      <c r="E67" t="inlineStr">
        <is>
          <t>Priority 1</t>
        </is>
      </c>
    </row>
    <row r="68">
      <c r="A68" t="inlineStr">
        <is>
          <t>SKP-2023-0161</t>
        </is>
      </c>
      <c r="B68" t="inlineStr">
        <is>
          <t>2023-08-18</t>
        </is>
      </c>
      <c r="C68" t="inlineStr">
        <is>
          <t>WL-02793</t>
        </is>
      </c>
      <c r="D68" t="inlineStr">
        <is>
          <t>Skip with no supporting records</t>
        </is>
      </c>
      <c r="E68" t="inlineStr">
        <is>
          <t>Priority 1</t>
        </is>
      </c>
    </row>
    <row r="69">
      <c r="A69" t="inlineStr">
        <is>
          <t>SKP-2023-0162</t>
        </is>
      </c>
      <c r="B69" t="inlineStr">
        <is>
          <t>2023-09-18</t>
        </is>
      </c>
      <c r="C69" t="inlineStr">
        <is>
          <t>WL-03249</t>
        </is>
      </c>
      <c r="D69" t="inlineStr">
        <is>
          <t>Skip with no supporting records</t>
        </is>
      </c>
      <c r="E69" t="inlineStr">
        <is>
          <t>Priority 1</t>
        </is>
      </c>
    </row>
    <row r="70">
      <c r="A70" t="inlineStr">
        <is>
          <t>SKP-2023-0163</t>
        </is>
      </c>
      <c r="B70" t="inlineStr">
        <is>
          <t>2023-09-11</t>
        </is>
      </c>
      <c r="C70" t="inlineStr">
        <is>
          <t>WL-03629</t>
        </is>
      </c>
      <c r="D70" t="inlineStr">
        <is>
          <t>Skip with no supporting records</t>
        </is>
      </c>
      <c r="E70" t="inlineStr">
        <is>
          <t>Priority 1</t>
        </is>
      </c>
    </row>
    <row r="71">
      <c r="A71" t="inlineStr">
        <is>
          <t>SKP-2023-0164</t>
        </is>
      </c>
      <c r="B71" t="inlineStr">
        <is>
          <t>2023-09-05</t>
        </is>
      </c>
      <c r="C71" t="inlineStr">
        <is>
          <t>WL-03673</t>
        </is>
      </c>
      <c r="D71" t="inlineStr">
        <is>
          <t>Skip with no supporting records</t>
        </is>
      </c>
      <c r="E71" t="inlineStr">
        <is>
          <t>Priority 1</t>
        </is>
      </c>
    </row>
    <row r="72">
      <c r="A72" t="inlineStr">
        <is>
          <t>SKP-2023-0165</t>
        </is>
      </c>
      <c r="B72" t="inlineStr">
        <is>
          <t>2023-09-05</t>
        </is>
      </c>
      <c r="C72" t="inlineStr">
        <is>
          <t>WL-01746</t>
        </is>
      </c>
      <c r="D72" t="inlineStr">
        <is>
          <t>Skip with no supporting records</t>
        </is>
      </c>
      <c r="E72" t="inlineStr">
        <is>
          <t>Priority 1</t>
        </is>
      </c>
    </row>
    <row r="73">
      <c r="A73" t="inlineStr">
        <is>
          <t>SKP-2023-0166</t>
        </is>
      </c>
      <c r="B73" t="inlineStr">
        <is>
          <t>2023-09-16</t>
        </is>
      </c>
      <c r="C73" t="inlineStr">
        <is>
          <t>WL-03844</t>
        </is>
      </c>
      <c r="D73" t="inlineStr">
        <is>
          <t>Skip with no supporting records</t>
        </is>
      </c>
      <c r="E73" t="inlineStr">
        <is>
          <t>Priority 1</t>
        </is>
      </c>
    </row>
    <row r="74">
      <c r="A74" t="inlineStr">
        <is>
          <t>SKP-2023-0167</t>
        </is>
      </c>
      <c r="B74" t="inlineStr">
        <is>
          <t>2023-09-25</t>
        </is>
      </c>
      <c r="C74" t="inlineStr">
        <is>
          <t>WL-01566</t>
        </is>
      </c>
      <c r="D74" t="inlineStr">
        <is>
          <t>Skip with no supporting records</t>
        </is>
      </c>
      <c r="E74" t="inlineStr">
        <is>
          <t>Priority 1</t>
        </is>
      </c>
    </row>
    <row r="75">
      <c r="A75" t="inlineStr">
        <is>
          <t>SKP-2023-0168</t>
        </is>
      </c>
      <c r="B75" t="inlineStr">
        <is>
          <t>2023-09-13</t>
        </is>
      </c>
      <c r="C75" t="inlineStr">
        <is>
          <t>WL-02912</t>
        </is>
      </c>
      <c r="D75" t="inlineStr">
        <is>
          <t>Skip with no supporting records</t>
        </is>
      </c>
      <c r="E75" t="inlineStr">
        <is>
          <t>Priority 1</t>
        </is>
      </c>
    </row>
    <row r="76">
      <c r="A76" t="inlineStr">
        <is>
          <t>SKP-2023-0169</t>
        </is>
      </c>
      <c r="B76" t="inlineStr">
        <is>
          <t>2023-09-21</t>
        </is>
      </c>
      <c r="C76" t="inlineStr">
        <is>
          <t>WL-01168</t>
        </is>
      </c>
      <c r="D76" t="inlineStr">
        <is>
          <t>Skip with no supporting records</t>
        </is>
      </c>
      <c r="E76" t="inlineStr">
        <is>
          <t>Priority 1</t>
        </is>
      </c>
    </row>
    <row r="77">
      <c r="A77" t="inlineStr">
        <is>
          <t>SKP-2023-0170</t>
        </is>
      </c>
      <c r="B77" t="inlineStr">
        <is>
          <t>2023-09-04</t>
        </is>
      </c>
      <c r="C77" t="inlineStr">
        <is>
          <t>WL-03700</t>
        </is>
      </c>
      <c r="D77" t="inlineStr">
        <is>
          <t>Skip with no supporting records</t>
        </is>
      </c>
      <c r="E77" t="inlineStr">
        <is>
          <t>Priority 1</t>
        </is>
      </c>
    </row>
    <row r="78">
      <c r="A78" t="inlineStr">
        <is>
          <t>SKP-2023-0171</t>
        </is>
      </c>
      <c r="B78" t="inlineStr">
        <is>
          <t>2023-09-16</t>
        </is>
      </c>
      <c r="C78" t="inlineStr">
        <is>
          <t>WL-02000</t>
        </is>
      </c>
      <c r="D78" t="inlineStr">
        <is>
          <t>Skip with no supporting records</t>
        </is>
      </c>
      <c r="E78" t="inlineStr">
        <is>
          <t>Priority 1</t>
        </is>
      </c>
    </row>
    <row r="79">
      <c r="A79" t="inlineStr">
        <is>
          <t>SKP-2023-0172</t>
        </is>
      </c>
      <c r="B79" t="inlineStr">
        <is>
          <t>2023-09-17</t>
        </is>
      </c>
      <c r="C79" t="inlineStr">
        <is>
          <t>WL-01080</t>
        </is>
      </c>
      <c r="D79" t="inlineStr">
        <is>
          <t>Skip with no supporting records</t>
        </is>
      </c>
      <c r="E79" t="inlineStr">
        <is>
          <t>Priority 1</t>
        </is>
      </c>
    </row>
    <row r="80">
      <c r="A80" t="inlineStr">
        <is>
          <t>SKP-2023-0173</t>
        </is>
      </c>
      <c r="B80" t="inlineStr">
        <is>
          <t>2023-09-03</t>
        </is>
      </c>
      <c r="C80" t="inlineStr">
        <is>
          <t>WL-03715</t>
        </is>
      </c>
      <c r="D80" t="inlineStr">
        <is>
          <t>Skip with no supporting records</t>
        </is>
      </c>
      <c r="E80" t="inlineStr">
        <is>
          <t>Priority 1</t>
        </is>
      </c>
    </row>
    <row r="81">
      <c r="A81" t="inlineStr">
        <is>
          <t>SKP-2023-0174</t>
        </is>
      </c>
      <c r="B81" t="inlineStr">
        <is>
          <t>2023-09-11</t>
        </is>
      </c>
      <c r="C81" t="inlineStr">
        <is>
          <t>WL-02285</t>
        </is>
      </c>
      <c r="D81" t="inlineStr">
        <is>
          <t>Skip with no supporting records</t>
        </is>
      </c>
      <c r="E81" t="inlineStr">
        <is>
          <t>Priority 1</t>
        </is>
      </c>
    </row>
    <row r="82">
      <c r="A82" t="inlineStr">
        <is>
          <t>SKP-2023-0175</t>
        </is>
      </c>
      <c r="B82" t="inlineStr">
        <is>
          <t>2023-10-06</t>
        </is>
      </c>
      <c r="C82" t="inlineStr">
        <is>
          <t>WL-01003</t>
        </is>
      </c>
      <c r="D82" t="inlineStr">
        <is>
          <t>Skip with no supporting records</t>
        </is>
      </c>
      <c r="E82" t="inlineStr">
        <is>
          <t>Priority 1</t>
        </is>
      </c>
    </row>
    <row r="83">
      <c r="A83" t="inlineStr">
        <is>
          <t>SKP-2023-0176</t>
        </is>
      </c>
      <c r="B83" t="inlineStr">
        <is>
          <t>2023-10-05</t>
        </is>
      </c>
      <c r="C83" t="inlineStr">
        <is>
          <t>WL-01594</t>
        </is>
      </c>
      <c r="D83" t="inlineStr">
        <is>
          <t>Skip with no supporting records</t>
        </is>
      </c>
      <c r="E83" t="inlineStr">
        <is>
          <t>Priority 1</t>
        </is>
      </c>
    </row>
    <row r="84">
      <c r="A84" t="inlineStr">
        <is>
          <t>SKP-2023-0177</t>
        </is>
      </c>
      <c r="B84" t="inlineStr">
        <is>
          <t>2023-10-21</t>
        </is>
      </c>
      <c r="C84" t="inlineStr">
        <is>
          <t>WL-01918</t>
        </is>
      </c>
      <c r="D84" t="inlineStr">
        <is>
          <t>Skip with no supporting records</t>
        </is>
      </c>
      <c r="E84" t="inlineStr">
        <is>
          <t>Priority 1</t>
        </is>
      </c>
    </row>
    <row r="85">
      <c r="A85" t="inlineStr">
        <is>
          <t>SKP-2023-0178</t>
        </is>
      </c>
      <c r="B85" t="inlineStr">
        <is>
          <t>2023-10-24</t>
        </is>
      </c>
      <c r="C85" t="inlineStr">
        <is>
          <t>WL-03849</t>
        </is>
      </c>
      <c r="D85" t="inlineStr">
        <is>
          <t>Skip with no supporting records</t>
        </is>
      </c>
      <c r="E85" t="inlineStr">
        <is>
          <t>Priority 1</t>
        </is>
      </c>
    </row>
    <row r="86">
      <c r="A86" t="inlineStr">
        <is>
          <t>SKP-2023-0179</t>
        </is>
      </c>
      <c r="B86" t="inlineStr">
        <is>
          <t>2023-10-09</t>
        </is>
      </c>
      <c r="C86" t="inlineStr">
        <is>
          <t>WL-01704</t>
        </is>
      </c>
      <c r="D86" t="inlineStr">
        <is>
          <t>Skip with no supporting records</t>
        </is>
      </c>
      <c r="E86" t="inlineStr">
        <is>
          <t>Priority 1</t>
        </is>
      </c>
    </row>
    <row r="87">
      <c r="A87" t="inlineStr">
        <is>
          <t>SKP-2023-0180</t>
        </is>
      </c>
      <c r="B87" t="inlineStr">
        <is>
          <t>2023-11-22</t>
        </is>
      </c>
      <c r="C87" t="inlineStr">
        <is>
          <t>WL-03696</t>
        </is>
      </c>
      <c r="D87" t="inlineStr">
        <is>
          <t>Skip with no supporting records</t>
        </is>
      </c>
      <c r="E87" t="inlineStr">
        <is>
          <t>Priority 1</t>
        </is>
      </c>
    </row>
    <row r="88">
      <c r="A88" t="inlineStr">
        <is>
          <t>SKP-2023-0181</t>
        </is>
      </c>
      <c r="B88" t="inlineStr">
        <is>
          <t>2023-12-17</t>
        </is>
      </c>
      <c r="C88" t="inlineStr">
        <is>
          <t>WL-01016</t>
        </is>
      </c>
      <c r="D88" t="inlineStr">
        <is>
          <t>Skip with no supporting records</t>
        </is>
      </c>
      <c r="E88" t="inlineStr">
        <is>
          <t>Priority 1</t>
        </is>
      </c>
    </row>
    <row r="89">
      <c r="A89" t="inlineStr">
        <is>
          <t>SKP-2023-0182</t>
        </is>
      </c>
      <c r="B89" t="inlineStr">
        <is>
          <t>2023-12-21</t>
        </is>
      </c>
      <c r="C89" t="inlineStr">
        <is>
          <t>WL-01186</t>
        </is>
      </c>
      <c r="D89" t="inlineStr">
        <is>
          <t>Skip with no supporting records</t>
        </is>
      </c>
      <c r="E89" t="inlineStr">
        <is>
          <t>Priority 1</t>
        </is>
      </c>
    </row>
    <row r="90">
      <c r="A90" t="inlineStr">
        <is>
          <t>SKP-2023-0183</t>
        </is>
      </c>
      <c r="B90" t="inlineStr">
        <is>
          <t>2023-12-26</t>
        </is>
      </c>
      <c r="C90" t="inlineStr">
        <is>
          <t>WL-01524</t>
        </is>
      </c>
      <c r="D90" t="inlineStr">
        <is>
          <t>Skip with no supporting records</t>
        </is>
      </c>
      <c r="E90" t="inlineStr">
        <is>
          <t>Priority 1</t>
        </is>
      </c>
    </row>
    <row r="91">
      <c r="A91" t="inlineStr">
        <is>
          <t>SKP-2023-0184</t>
        </is>
      </c>
      <c r="B91" t="inlineStr">
        <is>
          <t>2023-12-26</t>
        </is>
      </c>
      <c r="C91" t="inlineStr">
        <is>
          <t>WL-03111</t>
        </is>
      </c>
      <c r="D91" t="inlineStr">
        <is>
          <t>Skip with no supporting records</t>
        </is>
      </c>
      <c r="E91" t="inlineStr">
        <is>
          <t>Priority 1</t>
        </is>
      </c>
    </row>
    <row r="92">
      <c r="A92" t="inlineStr">
        <is>
          <t>SKP-2023-0185</t>
        </is>
      </c>
      <c r="B92" t="inlineStr">
        <is>
          <t>2023-12-24</t>
        </is>
      </c>
      <c r="C92" t="inlineStr">
        <is>
          <t>WL-02726</t>
        </is>
      </c>
      <c r="D92" t="inlineStr">
        <is>
          <t>Skip with no supporting records</t>
        </is>
      </c>
      <c r="E92" t="inlineStr">
        <is>
          <t>Priority 1</t>
        </is>
      </c>
    </row>
    <row r="93">
      <c r="A93" t="inlineStr">
        <is>
          <t>SKP-2023-0186</t>
        </is>
      </c>
      <c r="B93" t="inlineStr">
        <is>
          <t>2023-12-03</t>
        </is>
      </c>
      <c r="C93" t="inlineStr">
        <is>
          <t>WL-01924</t>
        </is>
      </c>
      <c r="D93" t="inlineStr">
        <is>
          <t>Skip with no supporting records</t>
        </is>
      </c>
      <c r="E93" t="inlineStr">
        <is>
          <t>Priority 1</t>
        </is>
      </c>
    </row>
    <row r="94">
      <c r="A94" t="inlineStr">
        <is>
          <t>SKP-2024-0187</t>
        </is>
      </c>
      <c r="B94" t="inlineStr">
        <is>
          <t>2024-01-14</t>
        </is>
      </c>
      <c r="C94" t="inlineStr">
        <is>
          <t>WL-02759</t>
        </is>
      </c>
      <c r="D94" t="inlineStr">
        <is>
          <t>Skip with no supporting records</t>
        </is>
      </c>
      <c r="E94" t="inlineStr">
        <is>
          <t>Priority 1</t>
        </is>
      </c>
    </row>
    <row r="95">
      <c r="A95" t="inlineStr">
        <is>
          <t>SKP-2024-0188</t>
        </is>
      </c>
      <c r="B95" t="inlineStr">
        <is>
          <t>2024-01-04</t>
        </is>
      </c>
      <c r="C95" t="inlineStr">
        <is>
          <t>WL-01632</t>
        </is>
      </c>
      <c r="D95" t="inlineStr">
        <is>
          <t>Skip with no supporting records</t>
        </is>
      </c>
      <c r="E95" t="inlineStr">
        <is>
          <t>Priority 1</t>
        </is>
      </c>
    </row>
    <row r="96">
      <c r="A96" t="inlineStr">
        <is>
          <t>SKP-2024-0189</t>
        </is>
      </c>
      <c r="B96" t="inlineStr">
        <is>
          <t>2024-02-20</t>
        </is>
      </c>
      <c r="C96" t="inlineStr">
        <is>
          <t>WL-03141</t>
        </is>
      </c>
      <c r="D96" t="inlineStr">
        <is>
          <t>Skip with no supporting records</t>
        </is>
      </c>
      <c r="E96" t="inlineStr">
        <is>
          <t>Priority 1</t>
        </is>
      </c>
    </row>
    <row r="97">
      <c r="A97" t="inlineStr">
        <is>
          <t>SKP-2024-0190</t>
        </is>
      </c>
      <c r="B97" t="inlineStr">
        <is>
          <t>2024-02-24</t>
        </is>
      </c>
      <c r="C97" t="inlineStr">
        <is>
          <t>WL-02349</t>
        </is>
      </c>
      <c r="D97" t="inlineStr">
        <is>
          <t>Skip with no supporting records</t>
        </is>
      </c>
      <c r="E97" t="inlineStr">
        <is>
          <t>Priority 1</t>
        </is>
      </c>
    </row>
    <row r="98">
      <c r="A98" t="inlineStr">
        <is>
          <t>SKP-2024-0191</t>
        </is>
      </c>
      <c r="B98" t="inlineStr">
        <is>
          <t>2024-02-03</t>
        </is>
      </c>
      <c r="C98" t="inlineStr">
        <is>
          <t>WL-01253</t>
        </is>
      </c>
      <c r="D98" t="inlineStr">
        <is>
          <t>Skip with no supporting records</t>
        </is>
      </c>
      <c r="E98" t="inlineStr">
        <is>
          <t>Priority 1</t>
        </is>
      </c>
    </row>
    <row r="99">
      <c r="A99" t="inlineStr">
        <is>
          <t>SKP-2024-0192</t>
        </is>
      </c>
      <c r="B99" t="inlineStr">
        <is>
          <t>2024-02-15</t>
        </is>
      </c>
      <c r="C99" t="inlineStr">
        <is>
          <t>WL-03127</t>
        </is>
      </c>
      <c r="D99" t="inlineStr">
        <is>
          <t>Skip with no supporting records</t>
        </is>
      </c>
      <c r="E99" t="inlineStr">
        <is>
          <t>Priority 1</t>
        </is>
      </c>
    </row>
    <row r="100">
      <c r="A100" t="inlineStr">
        <is>
          <t>SKP-2024-0193</t>
        </is>
      </c>
      <c r="B100" t="inlineStr">
        <is>
          <t>2024-02-08</t>
        </is>
      </c>
      <c r="C100" t="inlineStr">
        <is>
          <t>WL-02653</t>
        </is>
      </c>
      <c r="D100" t="inlineStr">
        <is>
          <t>Skip with no supporting records</t>
        </is>
      </c>
      <c r="E100" t="inlineStr">
        <is>
          <t>Priority 1</t>
        </is>
      </c>
    </row>
    <row r="101">
      <c r="A101" t="inlineStr">
        <is>
          <t>SKP-2024-0194</t>
        </is>
      </c>
      <c r="B101" t="inlineStr">
        <is>
          <t>2024-02-07</t>
        </is>
      </c>
      <c r="C101" t="inlineStr">
        <is>
          <t>WL-01347</t>
        </is>
      </c>
      <c r="D101" t="inlineStr">
        <is>
          <t>Skip with no supporting records</t>
        </is>
      </c>
      <c r="E101" t="inlineStr">
        <is>
          <t>Priority 1</t>
        </is>
      </c>
    </row>
    <row r="102">
      <c r="A102" t="inlineStr">
        <is>
          <t>SKP-2024-0195</t>
        </is>
      </c>
      <c r="B102" t="inlineStr">
        <is>
          <t>2024-02-09</t>
        </is>
      </c>
      <c r="C102" t="inlineStr">
        <is>
          <t>WL-01562</t>
        </is>
      </c>
      <c r="D102" t="inlineStr">
        <is>
          <t>Skip with no supporting records</t>
        </is>
      </c>
      <c r="E102" t="inlineStr">
        <is>
          <t>Priority 1</t>
        </is>
      </c>
    </row>
    <row r="103">
      <c r="A103" t="inlineStr">
        <is>
          <t>SKP-2024-0196</t>
        </is>
      </c>
      <c r="B103" t="inlineStr">
        <is>
          <t>2024-03-23</t>
        </is>
      </c>
      <c r="C103" t="inlineStr">
        <is>
          <t>WL-02629</t>
        </is>
      </c>
      <c r="D103" t="inlineStr">
        <is>
          <t>Skip with no supporting records</t>
        </is>
      </c>
      <c r="E103" t="inlineStr">
        <is>
          <t>Priority 1</t>
        </is>
      </c>
    </row>
    <row r="104">
      <c r="A104" t="inlineStr">
        <is>
          <t>SKP-2024-0197</t>
        </is>
      </c>
      <c r="B104" t="inlineStr">
        <is>
          <t>2024-03-28</t>
        </is>
      </c>
      <c r="C104" t="inlineStr">
        <is>
          <t>WL-03621</t>
        </is>
      </c>
      <c r="D104" t="inlineStr">
        <is>
          <t>Skip with no supporting records</t>
        </is>
      </c>
      <c r="E104" t="inlineStr">
        <is>
          <t>Priority 1</t>
        </is>
      </c>
    </row>
    <row r="105">
      <c r="A105" t="inlineStr">
        <is>
          <t>SKP-2024-0198</t>
        </is>
      </c>
      <c r="B105" t="inlineStr">
        <is>
          <t>2024-03-22</t>
        </is>
      </c>
      <c r="C105" t="inlineStr">
        <is>
          <t>WL-02027</t>
        </is>
      </c>
      <c r="D105" t="inlineStr">
        <is>
          <t>Skip with no supporting records</t>
        </is>
      </c>
      <c r="E105" t="inlineStr">
        <is>
          <t>Priority 1</t>
        </is>
      </c>
    </row>
    <row r="106">
      <c r="A106" t="inlineStr">
        <is>
          <t>SKP-2024-0199</t>
        </is>
      </c>
      <c r="B106" t="inlineStr">
        <is>
          <t>2024-03-27</t>
        </is>
      </c>
      <c r="C106" t="inlineStr">
        <is>
          <t>WL-03185</t>
        </is>
      </c>
      <c r="D106" t="inlineStr">
        <is>
          <t>Skip with no supporting records</t>
        </is>
      </c>
      <c r="E106" t="inlineStr">
        <is>
          <t>Priority 1</t>
        </is>
      </c>
    </row>
    <row r="107">
      <c r="A107" t="inlineStr">
        <is>
          <t>SKP-2024-0200</t>
        </is>
      </c>
      <c r="B107" t="inlineStr">
        <is>
          <t>2024-03-02</t>
        </is>
      </c>
      <c r="C107" t="inlineStr">
        <is>
          <t>WL-02893</t>
        </is>
      </c>
      <c r="D107" t="inlineStr">
        <is>
          <t>Skip with no supporting records</t>
        </is>
      </c>
      <c r="E107" t="inlineStr">
        <is>
          <t>Priority 1</t>
        </is>
      </c>
    </row>
    <row r="108">
      <c r="A108" t="inlineStr">
        <is>
          <t>SKP-2024-0201</t>
        </is>
      </c>
      <c r="B108" t="inlineStr">
        <is>
          <t>2024-03-25</t>
        </is>
      </c>
      <c r="C108" t="inlineStr">
        <is>
          <t>WL-02274</t>
        </is>
      </c>
      <c r="D108" t="inlineStr">
        <is>
          <t>Skip with no supporting records</t>
        </is>
      </c>
      <c r="E108" t="inlineStr">
        <is>
          <t>Priority 1</t>
        </is>
      </c>
    </row>
    <row r="109">
      <c r="A109" t="inlineStr">
        <is>
          <t>SKP-2024-0202</t>
        </is>
      </c>
      <c r="B109" t="inlineStr">
        <is>
          <t>2024-03-20</t>
        </is>
      </c>
      <c r="C109" t="inlineStr">
        <is>
          <t>WL-03661</t>
        </is>
      </c>
      <c r="D109" t="inlineStr">
        <is>
          <t>Skip with no supporting records</t>
        </is>
      </c>
      <c r="E109" t="inlineStr">
        <is>
          <t>Priority 1</t>
        </is>
      </c>
    </row>
    <row r="110">
      <c r="A110" t="inlineStr">
        <is>
          <t>SKP-2024-0203</t>
        </is>
      </c>
      <c r="B110" t="inlineStr">
        <is>
          <t>2024-03-02</t>
        </is>
      </c>
      <c r="C110" t="inlineStr">
        <is>
          <t>WL-02769</t>
        </is>
      </c>
      <c r="D110" t="inlineStr">
        <is>
          <t>Skip with no supporting records</t>
        </is>
      </c>
      <c r="E110" t="inlineStr">
        <is>
          <t>Priority 1</t>
        </is>
      </c>
    </row>
    <row r="111">
      <c r="A111" t="inlineStr">
        <is>
          <t>SKP-2024-0204</t>
        </is>
      </c>
      <c r="B111" t="inlineStr">
        <is>
          <t>2024-04-02</t>
        </is>
      </c>
      <c r="C111" t="inlineStr">
        <is>
          <t>WL-01950</t>
        </is>
      </c>
      <c r="D111" t="inlineStr">
        <is>
          <t>Skip with no supporting records</t>
        </is>
      </c>
      <c r="E111" t="inlineStr">
        <is>
          <t>Priority 1</t>
        </is>
      </c>
    </row>
    <row r="112">
      <c r="A112" t="inlineStr">
        <is>
          <t>SKP-2024-0205</t>
        </is>
      </c>
      <c r="B112" t="inlineStr">
        <is>
          <t>2024-04-25</t>
        </is>
      </c>
      <c r="C112" t="inlineStr">
        <is>
          <t>WL-02895</t>
        </is>
      </c>
      <c r="D112" t="inlineStr">
        <is>
          <t>Skip with no supporting records</t>
        </is>
      </c>
      <c r="E112" t="inlineStr">
        <is>
          <t>Priority 1</t>
        </is>
      </c>
    </row>
    <row r="113">
      <c r="A113" t="inlineStr">
        <is>
          <t>SKP-2024-0206</t>
        </is>
      </c>
      <c r="B113" t="inlineStr">
        <is>
          <t>2024-04-08</t>
        </is>
      </c>
      <c r="C113" t="inlineStr">
        <is>
          <t>WL-03018</t>
        </is>
      </c>
      <c r="D113" t="inlineStr">
        <is>
          <t>Skip with no supporting records</t>
        </is>
      </c>
      <c r="E113" t="inlineStr">
        <is>
          <t>Priority 1</t>
        </is>
      </c>
    </row>
    <row r="114">
      <c r="A114" t="inlineStr">
        <is>
          <t>SKP-2024-0207</t>
        </is>
      </c>
      <c r="B114" t="inlineStr">
        <is>
          <t>2024-04-21</t>
        </is>
      </c>
      <c r="C114" t="inlineStr">
        <is>
          <t>WL-02948</t>
        </is>
      </c>
      <c r="D114" t="inlineStr">
        <is>
          <t>Skip with no supporting records</t>
        </is>
      </c>
      <c r="E114" t="inlineStr">
        <is>
          <t>Priority 1</t>
        </is>
      </c>
    </row>
    <row r="115">
      <c r="A115" t="inlineStr">
        <is>
          <t>SKP-2024-0208</t>
        </is>
      </c>
      <c r="B115" t="inlineStr">
        <is>
          <t>2024-05-08</t>
        </is>
      </c>
      <c r="C115" t="inlineStr">
        <is>
          <t>WL-02305</t>
        </is>
      </c>
      <c r="D115" t="inlineStr">
        <is>
          <t>Skip with no supporting records</t>
        </is>
      </c>
      <c r="E115" t="inlineStr">
        <is>
          <t>Priority 1</t>
        </is>
      </c>
    </row>
    <row r="116">
      <c r="A116" t="inlineStr">
        <is>
          <t>SKP-2024-0209</t>
        </is>
      </c>
      <c r="B116" t="inlineStr">
        <is>
          <t>2024-05-13</t>
        </is>
      </c>
      <c r="C116" t="inlineStr">
        <is>
          <t>WL-01675</t>
        </is>
      </c>
      <c r="D116" t="inlineStr">
        <is>
          <t>Skip with no supporting records</t>
        </is>
      </c>
      <c r="E116" t="inlineStr">
        <is>
          <t>Priority 1</t>
        </is>
      </c>
    </row>
    <row r="117">
      <c r="A117" t="inlineStr">
        <is>
          <t>SKP-2024-0210</t>
        </is>
      </c>
      <c r="B117" t="inlineStr">
        <is>
          <t>2024-05-23</t>
        </is>
      </c>
      <c r="C117" t="inlineStr">
        <is>
          <t>WL-01242</t>
        </is>
      </c>
      <c r="D117" t="inlineStr">
        <is>
          <t>Skip with no supporting records</t>
        </is>
      </c>
      <c r="E117" t="inlineStr">
        <is>
          <t>Priority 1</t>
        </is>
      </c>
    </row>
    <row r="118">
      <c r="A118" t="inlineStr">
        <is>
          <t>SKP-2024-0211</t>
        </is>
      </c>
      <c r="B118" t="inlineStr">
        <is>
          <t>2024-05-19</t>
        </is>
      </c>
      <c r="C118" t="inlineStr">
        <is>
          <t>WL-01536</t>
        </is>
      </c>
      <c r="D118" t="inlineStr">
        <is>
          <t>Skip with no supporting records</t>
        </is>
      </c>
      <c r="E118" t="inlineStr">
        <is>
          <t>Priority 1</t>
        </is>
      </c>
    </row>
    <row r="119">
      <c r="A119" t="inlineStr">
        <is>
          <t>SKP-2024-0212</t>
        </is>
      </c>
      <c r="B119" t="inlineStr">
        <is>
          <t>2024-05-22</t>
        </is>
      </c>
      <c r="C119" t="inlineStr">
        <is>
          <t>WL-02013</t>
        </is>
      </c>
      <c r="D119" t="inlineStr">
        <is>
          <t>Skip with no supporting records</t>
        </is>
      </c>
      <c r="E119" t="inlineStr">
        <is>
          <t>Priority 1</t>
        </is>
      </c>
    </row>
    <row r="120">
      <c r="A120" t="inlineStr">
        <is>
          <t>SKP-2024-0213</t>
        </is>
      </c>
      <c r="B120" t="inlineStr">
        <is>
          <t>2024-05-15</t>
        </is>
      </c>
      <c r="C120" t="inlineStr">
        <is>
          <t>WL-01753</t>
        </is>
      </c>
      <c r="D120" t="inlineStr">
        <is>
          <t>Skip with no supporting records</t>
        </is>
      </c>
      <c r="E120" t="inlineStr">
        <is>
          <t>Priority 1</t>
        </is>
      </c>
    </row>
    <row r="121">
      <c r="A121" t="inlineStr">
        <is>
          <t>SKP-2024-0214</t>
        </is>
      </c>
      <c r="B121" t="inlineStr">
        <is>
          <t>2024-05-01</t>
        </is>
      </c>
      <c r="C121" t="inlineStr">
        <is>
          <t>WL-01318</t>
        </is>
      </c>
      <c r="D121" t="inlineStr">
        <is>
          <t>Skip with no supporting records</t>
        </is>
      </c>
      <c r="E121" t="inlineStr">
        <is>
          <t>Priority 1</t>
        </is>
      </c>
    </row>
    <row r="122">
      <c r="A122" t="inlineStr">
        <is>
          <t>SKP-2024-0215</t>
        </is>
      </c>
      <c r="B122" t="inlineStr">
        <is>
          <t>2024-05-21</t>
        </is>
      </c>
      <c r="C122" t="inlineStr">
        <is>
          <t>WL-03891</t>
        </is>
      </c>
      <c r="D122" t="inlineStr">
        <is>
          <t>Skip with no supporting records</t>
        </is>
      </c>
      <c r="E122" t="inlineStr">
        <is>
          <t>Priority 1</t>
        </is>
      </c>
    </row>
    <row r="123">
      <c r="A123" t="inlineStr">
        <is>
          <t>SKP-2024-0216</t>
        </is>
      </c>
      <c r="B123" t="inlineStr">
        <is>
          <t>2024-06-12</t>
        </is>
      </c>
      <c r="C123" t="inlineStr">
        <is>
          <t>WL-03026</t>
        </is>
      </c>
      <c r="D123" t="inlineStr">
        <is>
          <t>Skip with no supporting records</t>
        </is>
      </c>
      <c r="E123" t="inlineStr">
        <is>
          <t>Priority 1</t>
        </is>
      </c>
    </row>
    <row r="124">
      <c r="A124" t="inlineStr">
        <is>
          <t>SKP-2024-0217</t>
        </is>
      </c>
      <c r="B124" t="inlineStr">
        <is>
          <t>2024-06-15</t>
        </is>
      </c>
      <c r="C124" t="inlineStr">
        <is>
          <t>WL-03245</t>
        </is>
      </c>
      <c r="D124" t="inlineStr">
        <is>
          <t>Skip with no supporting records</t>
        </is>
      </c>
      <c r="E124" t="inlineStr">
        <is>
          <t>Priority 1</t>
        </is>
      </c>
    </row>
    <row r="125">
      <c r="A125" t="inlineStr">
        <is>
          <t>SKP-2024-0218</t>
        </is>
      </c>
      <c r="B125" t="inlineStr">
        <is>
          <t>2024-06-14</t>
        </is>
      </c>
      <c r="C125" t="inlineStr">
        <is>
          <t>WL-03527</t>
        </is>
      </c>
      <c r="D125" t="inlineStr">
        <is>
          <t>Skip with no supporting records</t>
        </is>
      </c>
      <c r="E125" t="inlineStr">
        <is>
          <t>Priority 1</t>
        </is>
      </c>
    </row>
    <row r="126">
      <c r="A126" t="inlineStr">
        <is>
          <t>SKP-2024-0219</t>
        </is>
      </c>
      <c r="B126" t="inlineStr">
        <is>
          <t>2024-06-05</t>
        </is>
      </c>
      <c r="C126" t="inlineStr">
        <is>
          <t>WL-01144</t>
        </is>
      </c>
      <c r="D126" t="inlineStr">
        <is>
          <t>Skip with no supporting records</t>
        </is>
      </c>
      <c r="E126" t="inlineStr">
        <is>
          <t>Priority 1</t>
        </is>
      </c>
    </row>
    <row r="127">
      <c r="A127" t="inlineStr">
        <is>
          <t>SKP-2024-0221</t>
        </is>
      </c>
      <c r="B127" t="inlineStr">
        <is>
          <t>2024-06-09</t>
        </is>
      </c>
      <c r="C127" t="inlineStr">
        <is>
          <t>WL-01368</t>
        </is>
      </c>
      <c r="D127" t="inlineStr">
        <is>
          <t>Skip with no supporting records</t>
        </is>
      </c>
      <c r="E127" t="inlineStr">
        <is>
          <t>Priority 1</t>
        </is>
      </c>
    </row>
    <row r="128">
      <c r="A128" t="inlineStr">
        <is>
          <t>SKP-2024-0222</t>
        </is>
      </c>
      <c r="B128" t="inlineStr">
        <is>
          <t>2024-07-28</t>
        </is>
      </c>
      <c r="C128" t="inlineStr">
        <is>
          <t>WL-01889</t>
        </is>
      </c>
      <c r="D128" t="inlineStr">
        <is>
          <t>Skip with no supporting records</t>
        </is>
      </c>
      <c r="E128" t="inlineStr">
        <is>
          <t>Priority 1</t>
        </is>
      </c>
    </row>
    <row r="129">
      <c r="A129" t="inlineStr">
        <is>
          <t>SKP-2024-0223</t>
        </is>
      </c>
      <c r="B129" t="inlineStr">
        <is>
          <t>2024-07-05</t>
        </is>
      </c>
      <c r="C129" t="inlineStr">
        <is>
          <t>WL-01691</t>
        </is>
      </c>
      <c r="D129" t="inlineStr">
        <is>
          <t>Skip with no supporting records</t>
        </is>
      </c>
      <c r="E129" t="inlineStr">
        <is>
          <t>Priority 1</t>
        </is>
      </c>
    </row>
    <row r="130">
      <c r="A130" t="inlineStr">
        <is>
          <t>SKP-2024-0224</t>
        </is>
      </c>
      <c r="B130" t="inlineStr">
        <is>
          <t>2024-07-14</t>
        </is>
      </c>
      <c r="C130" t="inlineStr">
        <is>
          <t>WL-02850</t>
        </is>
      </c>
      <c r="D130" t="inlineStr">
        <is>
          <t>Skip with no supporting records</t>
        </is>
      </c>
      <c r="E130" t="inlineStr">
        <is>
          <t>Priority 1</t>
        </is>
      </c>
    </row>
    <row r="131">
      <c r="A131" t="inlineStr">
        <is>
          <t>SKP-2024-0225</t>
        </is>
      </c>
      <c r="B131" t="inlineStr">
        <is>
          <t>2024-08-18</t>
        </is>
      </c>
      <c r="C131" t="inlineStr">
        <is>
          <t>WL-03762</t>
        </is>
      </c>
      <c r="D131" t="inlineStr">
        <is>
          <t>Skip with no supporting records</t>
        </is>
      </c>
      <c r="E131" t="inlineStr">
        <is>
          <t>Priority 1</t>
        </is>
      </c>
    </row>
    <row r="132">
      <c r="A132" t="inlineStr">
        <is>
          <t>SKP-2024-0226</t>
        </is>
      </c>
      <c r="B132" t="inlineStr">
        <is>
          <t>2024-08-06</t>
        </is>
      </c>
      <c r="C132" t="inlineStr">
        <is>
          <t>WL-03542</t>
        </is>
      </c>
      <c r="D132" t="inlineStr">
        <is>
          <t>Skip with no supporting records</t>
        </is>
      </c>
      <c r="E132" t="inlineStr">
        <is>
          <t>Priority 1</t>
        </is>
      </c>
    </row>
    <row r="133">
      <c r="A133" t="inlineStr">
        <is>
          <t>SKP-2024-0227</t>
        </is>
      </c>
      <c r="B133" t="inlineStr">
        <is>
          <t>2024-08-16</t>
        </is>
      </c>
      <c r="C133" t="inlineStr">
        <is>
          <t>WL-03759</t>
        </is>
      </c>
      <c r="D133" t="inlineStr">
        <is>
          <t>Skip with no supporting records</t>
        </is>
      </c>
      <c r="E133" t="inlineStr">
        <is>
          <t>Priority 1</t>
        </is>
      </c>
    </row>
    <row r="134">
      <c r="A134" t="inlineStr">
        <is>
          <t>SKP-2024-0228</t>
        </is>
      </c>
      <c r="B134" t="inlineStr">
        <is>
          <t>2024-08-10</t>
        </is>
      </c>
      <c r="C134" t="inlineStr">
        <is>
          <t>WL-01001</t>
        </is>
      </c>
      <c r="D134" t="inlineStr">
        <is>
          <t>Skip with no supporting records</t>
        </is>
      </c>
      <c r="E134" t="inlineStr">
        <is>
          <t>Priority 1</t>
        </is>
      </c>
    </row>
    <row r="135">
      <c r="A135" t="inlineStr">
        <is>
          <t>SKP-2024-0229</t>
        </is>
      </c>
      <c r="B135" t="inlineStr">
        <is>
          <t>2024-08-25</t>
        </is>
      </c>
      <c r="C135" t="inlineStr">
        <is>
          <t>WL-02791</t>
        </is>
      </c>
      <c r="D135" t="inlineStr">
        <is>
          <t>Skip with no supporting records</t>
        </is>
      </c>
      <c r="E135" t="inlineStr">
        <is>
          <t>Priority 1</t>
        </is>
      </c>
    </row>
    <row r="136">
      <c r="A136" t="inlineStr">
        <is>
          <t>SKP-2024-0230</t>
        </is>
      </c>
      <c r="B136" t="inlineStr">
        <is>
          <t>2024-08-28</t>
        </is>
      </c>
      <c r="C136" t="inlineStr">
        <is>
          <t>WL-01998</t>
        </is>
      </c>
      <c r="D136" t="inlineStr">
        <is>
          <t>Skip with no supporting records</t>
        </is>
      </c>
      <c r="E136" t="inlineStr">
        <is>
          <t>Priority 1</t>
        </is>
      </c>
    </row>
    <row r="137">
      <c r="A137" t="inlineStr">
        <is>
          <t>SKP-2024-0231</t>
        </is>
      </c>
      <c r="B137" t="inlineStr">
        <is>
          <t>2024-08-04</t>
        </is>
      </c>
      <c r="C137" t="inlineStr">
        <is>
          <t>WL-02925</t>
        </is>
      </c>
      <c r="D137" t="inlineStr">
        <is>
          <t>Skip with no supporting records</t>
        </is>
      </c>
      <c r="E137" t="inlineStr">
        <is>
          <t>Priority 1</t>
        </is>
      </c>
    </row>
    <row r="138">
      <c r="A138" t="inlineStr">
        <is>
          <t>SKP-2024-0232</t>
        </is>
      </c>
      <c r="B138" t="inlineStr">
        <is>
          <t>2024-09-01</t>
        </is>
      </c>
      <c r="C138" t="inlineStr">
        <is>
          <t>WL-03615</t>
        </is>
      </c>
      <c r="D138" t="inlineStr">
        <is>
          <t>Skip with no supporting records</t>
        </is>
      </c>
      <c r="E138" t="inlineStr">
        <is>
          <t>Priority 1</t>
        </is>
      </c>
    </row>
    <row r="139">
      <c r="A139" t="inlineStr">
        <is>
          <t>SKP-2024-0233</t>
        </is>
      </c>
      <c r="B139" t="inlineStr">
        <is>
          <t>2024-09-11</t>
        </is>
      </c>
      <c r="C139" t="inlineStr">
        <is>
          <t>WL-03062</t>
        </is>
      </c>
      <c r="D139" t="inlineStr">
        <is>
          <t>Skip with no supporting records</t>
        </is>
      </c>
      <c r="E139" t="inlineStr">
        <is>
          <t>Priority 1</t>
        </is>
      </c>
    </row>
    <row r="140">
      <c r="A140" t="inlineStr">
        <is>
          <t>SKP-2024-0234</t>
        </is>
      </c>
      <c r="B140" t="inlineStr">
        <is>
          <t>2024-09-07</t>
        </is>
      </c>
      <c r="C140" t="inlineStr">
        <is>
          <t>WL-01779</t>
        </is>
      </c>
      <c r="D140" t="inlineStr">
        <is>
          <t>Skip with no supporting records</t>
        </is>
      </c>
      <c r="E140" t="inlineStr">
        <is>
          <t>Priority 1</t>
        </is>
      </c>
    </row>
    <row r="141">
      <c r="A141" t="inlineStr">
        <is>
          <t>SKP-2024-0235</t>
        </is>
      </c>
      <c r="B141" t="inlineStr">
        <is>
          <t>2024-09-01</t>
        </is>
      </c>
      <c r="C141" t="inlineStr">
        <is>
          <t>WL-03228</t>
        </is>
      </c>
      <c r="D141" t="inlineStr">
        <is>
          <t>Skip with no supporting records</t>
        </is>
      </c>
      <c r="E141" t="inlineStr">
        <is>
          <t>Priority 1</t>
        </is>
      </c>
    </row>
    <row r="142">
      <c r="A142" t="inlineStr">
        <is>
          <t>SKP-2024-0236</t>
        </is>
      </c>
      <c r="B142" t="inlineStr">
        <is>
          <t>2024-09-10</t>
        </is>
      </c>
      <c r="C142" t="inlineStr">
        <is>
          <t>WL-03479</t>
        </is>
      </c>
      <c r="D142" t="inlineStr">
        <is>
          <t>Skip with no supporting records</t>
        </is>
      </c>
      <c r="E142" t="inlineStr">
        <is>
          <t>Priority 1</t>
        </is>
      </c>
    </row>
    <row r="143">
      <c r="A143" t="inlineStr">
        <is>
          <t>SKP-2024-0237</t>
        </is>
      </c>
      <c r="B143" t="inlineStr">
        <is>
          <t>2024-09-14</t>
        </is>
      </c>
      <c r="C143" t="inlineStr">
        <is>
          <t>WL-02574</t>
        </is>
      </c>
      <c r="D143" t="inlineStr">
        <is>
          <t>Skip with no supporting records</t>
        </is>
      </c>
      <c r="E143" t="inlineStr">
        <is>
          <t>Priority 1</t>
        </is>
      </c>
    </row>
    <row r="144">
      <c r="A144" t="inlineStr">
        <is>
          <t>SKP-2024-0238</t>
        </is>
      </c>
      <c r="B144" t="inlineStr">
        <is>
          <t>2024-09-10</t>
        </is>
      </c>
      <c r="C144" t="inlineStr">
        <is>
          <t>WL-02336</t>
        </is>
      </c>
      <c r="D144" t="inlineStr">
        <is>
          <t>Skip with no supporting records</t>
        </is>
      </c>
      <c r="E144" t="inlineStr">
        <is>
          <t>Priority 1</t>
        </is>
      </c>
    </row>
    <row r="145">
      <c r="A145" t="inlineStr">
        <is>
          <t>SKP-2024-0239</t>
        </is>
      </c>
      <c r="B145" t="inlineStr">
        <is>
          <t>2024-09-02</t>
        </is>
      </c>
      <c r="C145" t="inlineStr">
        <is>
          <t>WL-01504</t>
        </is>
      </c>
      <c r="D145" t="inlineStr">
        <is>
          <t>Skip with no supporting records</t>
        </is>
      </c>
      <c r="E145" t="inlineStr">
        <is>
          <t>Priority 1</t>
        </is>
      </c>
    </row>
    <row r="146">
      <c r="A146" t="inlineStr">
        <is>
          <t>SKP-2024-0240</t>
        </is>
      </c>
      <c r="B146" t="inlineStr">
        <is>
          <t>2024-09-25</t>
        </is>
      </c>
      <c r="C146" t="inlineStr">
        <is>
          <t>WL-01718</t>
        </is>
      </c>
      <c r="D146" t="inlineStr">
        <is>
          <t>Skip with no supporting records</t>
        </is>
      </c>
      <c r="E146" t="inlineStr">
        <is>
          <t>Priority 1</t>
        </is>
      </c>
    </row>
    <row r="147">
      <c r="A147" t="inlineStr">
        <is>
          <t>SKP-2024-0241</t>
        </is>
      </c>
      <c r="B147" t="inlineStr">
        <is>
          <t>2024-10-26</t>
        </is>
      </c>
      <c r="C147" t="inlineStr">
        <is>
          <t>WL-01026</t>
        </is>
      </c>
      <c r="D147" t="inlineStr">
        <is>
          <t>Skip with no supporting records</t>
        </is>
      </c>
      <c r="E147" t="inlineStr">
        <is>
          <t>Priority 1</t>
        </is>
      </c>
    </row>
    <row r="148">
      <c r="A148" t="inlineStr">
        <is>
          <t>SKP-2024-0242</t>
        </is>
      </c>
      <c r="B148" t="inlineStr">
        <is>
          <t>2024-10-21</t>
        </is>
      </c>
      <c r="C148" t="inlineStr">
        <is>
          <t>WL-03831</t>
        </is>
      </c>
      <c r="D148" t="inlineStr">
        <is>
          <t>Skip with no supporting records</t>
        </is>
      </c>
      <c r="E148" t="inlineStr">
        <is>
          <t>Priority 1</t>
        </is>
      </c>
    </row>
    <row r="149">
      <c r="A149" t="inlineStr">
        <is>
          <t>SKP-2024-0243</t>
        </is>
      </c>
      <c r="B149" t="inlineStr">
        <is>
          <t>2024-10-21</t>
        </is>
      </c>
      <c r="C149" t="inlineStr">
        <is>
          <t>WL-01264</t>
        </is>
      </c>
      <c r="D149" t="inlineStr">
        <is>
          <t>Skip with no supporting records</t>
        </is>
      </c>
      <c r="E149" t="inlineStr">
        <is>
          <t>Priority 1</t>
        </is>
      </c>
    </row>
    <row r="150">
      <c r="A150" t="inlineStr">
        <is>
          <t>SKP-2024-0244</t>
        </is>
      </c>
      <c r="B150" t="inlineStr">
        <is>
          <t>2024-10-25</t>
        </is>
      </c>
      <c r="C150" t="inlineStr">
        <is>
          <t>WL-03708</t>
        </is>
      </c>
      <c r="D150" t="inlineStr">
        <is>
          <t>Skip with no supporting records</t>
        </is>
      </c>
      <c r="E150" t="inlineStr">
        <is>
          <t>Priority 1</t>
        </is>
      </c>
    </row>
    <row r="151">
      <c r="A151" t="inlineStr">
        <is>
          <t>SKP-2024-0245</t>
        </is>
      </c>
      <c r="B151" t="inlineStr">
        <is>
          <t>2024-10-27</t>
        </is>
      </c>
      <c r="C151" t="inlineStr">
        <is>
          <t>WL-03808</t>
        </is>
      </c>
      <c r="D151" t="inlineStr">
        <is>
          <t>Skip with no supporting records</t>
        </is>
      </c>
      <c r="E151" t="inlineStr">
        <is>
          <t>Priority 1</t>
        </is>
      </c>
    </row>
    <row r="152">
      <c r="A152" t="inlineStr">
        <is>
          <t>SKP-2024-0246</t>
        </is>
      </c>
      <c r="B152" t="inlineStr">
        <is>
          <t>2024-10-15</t>
        </is>
      </c>
      <c r="C152" t="inlineStr">
        <is>
          <t>WL-01269</t>
        </is>
      </c>
      <c r="D152" t="inlineStr">
        <is>
          <t>Skip with no supporting records</t>
        </is>
      </c>
      <c r="E152" t="inlineStr">
        <is>
          <t>Priority 1</t>
        </is>
      </c>
    </row>
    <row r="153">
      <c r="A153" t="inlineStr">
        <is>
          <t>SKP-2024-0247</t>
        </is>
      </c>
      <c r="B153" t="inlineStr">
        <is>
          <t>2024-10-20</t>
        </is>
      </c>
      <c r="C153" t="inlineStr">
        <is>
          <t>WL-03733</t>
        </is>
      </c>
      <c r="D153" t="inlineStr">
        <is>
          <t>Skip with no supporting records</t>
        </is>
      </c>
      <c r="E153" t="inlineStr">
        <is>
          <t>Priority 1</t>
        </is>
      </c>
    </row>
    <row r="154">
      <c r="A154" t="inlineStr">
        <is>
          <t>SKP-2024-0248</t>
        </is>
      </c>
      <c r="B154" t="inlineStr">
        <is>
          <t>2024-11-22</t>
        </is>
      </c>
      <c r="C154" t="inlineStr">
        <is>
          <t>WL-02139</t>
        </is>
      </c>
      <c r="D154" t="inlineStr">
        <is>
          <t>Skip with no supporting records</t>
        </is>
      </c>
      <c r="E154" t="inlineStr">
        <is>
          <t>Priority 1</t>
        </is>
      </c>
    </row>
    <row r="155">
      <c r="A155" t="inlineStr">
        <is>
          <t>SKP-2024-0249</t>
        </is>
      </c>
      <c r="B155" t="inlineStr">
        <is>
          <t>2024-11-17</t>
        </is>
      </c>
      <c r="C155" t="inlineStr">
        <is>
          <t>WL-02598</t>
        </is>
      </c>
      <c r="D155" t="inlineStr">
        <is>
          <t>Skip with no supporting records</t>
        </is>
      </c>
      <c r="E155" t="inlineStr">
        <is>
          <t>Priority 1</t>
        </is>
      </c>
    </row>
    <row r="156">
      <c r="A156" t="inlineStr">
        <is>
          <t>SKP-2024-0250</t>
        </is>
      </c>
      <c r="B156" t="inlineStr">
        <is>
          <t>2024-11-23</t>
        </is>
      </c>
      <c r="C156" t="inlineStr">
        <is>
          <t>WL-01832</t>
        </is>
      </c>
      <c r="D156" t="inlineStr">
        <is>
          <t>Skip with no supporting records</t>
        </is>
      </c>
      <c r="E156" t="inlineStr">
        <is>
          <t>Priority 1</t>
        </is>
      </c>
    </row>
    <row r="157">
      <c r="A157" t="inlineStr">
        <is>
          <t>SKP-2024-0251</t>
        </is>
      </c>
      <c r="B157" t="inlineStr">
        <is>
          <t>2024-11-03</t>
        </is>
      </c>
      <c r="C157" t="inlineStr">
        <is>
          <t>WL-03857</t>
        </is>
      </c>
      <c r="D157" t="inlineStr">
        <is>
          <t>Skip with no supporting records</t>
        </is>
      </c>
      <c r="E157" t="inlineStr">
        <is>
          <t>Priority 1</t>
        </is>
      </c>
    </row>
    <row r="158">
      <c r="A158" t="inlineStr">
        <is>
          <t>SKP-2024-0252</t>
        </is>
      </c>
      <c r="B158" t="inlineStr">
        <is>
          <t>2024-12-13</t>
        </is>
      </c>
      <c r="C158" t="inlineStr">
        <is>
          <t>WL-02412</t>
        </is>
      </c>
      <c r="D158" t="inlineStr">
        <is>
          <t>Skip with no supporting records</t>
        </is>
      </c>
      <c r="E158" t="inlineStr">
        <is>
          <t>Priority 1</t>
        </is>
      </c>
    </row>
    <row r="159">
      <c r="A159" t="inlineStr">
        <is>
          <t>SKP-2024-0253</t>
        </is>
      </c>
      <c r="B159" t="inlineStr">
        <is>
          <t>2024-12-24</t>
        </is>
      </c>
      <c r="C159" t="inlineStr">
        <is>
          <t>WL-03079</t>
        </is>
      </c>
      <c r="D159" t="inlineStr">
        <is>
          <t>Skip with no supporting records</t>
        </is>
      </c>
      <c r="E159" t="inlineStr">
        <is>
          <t>Priority 1</t>
        </is>
      </c>
    </row>
    <row r="160">
      <c r="A160" t="inlineStr">
        <is>
          <t>SKP-2024-0254</t>
        </is>
      </c>
      <c r="B160" t="inlineStr">
        <is>
          <t>2024-12-11</t>
        </is>
      </c>
      <c r="C160" t="inlineStr">
        <is>
          <t>WL-03294</t>
        </is>
      </c>
      <c r="D160" t="inlineStr">
        <is>
          <t>Skip with no supporting records</t>
        </is>
      </c>
      <c r="E160" t="inlineStr">
        <is>
          <t>Priority 1</t>
        </is>
      </c>
    </row>
    <row r="161">
      <c r="A161" t="inlineStr">
        <is>
          <t>SKP-2024-0255</t>
        </is>
      </c>
      <c r="B161" t="inlineStr">
        <is>
          <t>2024-12-22</t>
        </is>
      </c>
      <c r="C161" t="inlineStr">
        <is>
          <t>WL-01844</t>
        </is>
      </c>
      <c r="D161" t="inlineStr">
        <is>
          <t>Skip with no supporting records</t>
        </is>
      </c>
      <c r="E161" t="inlineStr">
        <is>
          <t>Priority 1</t>
        </is>
      </c>
    </row>
    <row r="162">
      <c r="A162" t="inlineStr">
        <is>
          <t>SKP-2024-0256</t>
        </is>
      </c>
      <c r="B162" t="inlineStr">
        <is>
          <t>2024-12-18</t>
        </is>
      </c>
      <c r="C162" t="inlineStr">
        <is>
          <t>WL-02923</t>
        </is>
      </c>
      <c r="D162" t="inlineStr">
        <is>
          <t>Skip with no supporting records</t>
        </is>
      </c>
      <c r="E162" t="inlineStr">
        <is>
          <t>Priority 1</t>
        </is>
      </c>
    </row>
    <row r="163">
      <c r="A163" t="inlineStr">
        <is>
          <t>SKP-2025-0257</t>
        </is>
      </c>
      <c r="B163" t="inlineStr">
        <is>
          <t>2025-01-15</t>
        </is>
      </c>
      <c r="C163" t="inlineStr">
        <is>
          <t>WL-03628</t>
        </is>
      </c>
      <c r="D163" t="inlineStr">
        <is>
          <t>Skip with no supporting records</t>
        </is>
      </c>
      <c r="E163" t="inlineStr">
        <is>
          <t>Priority 1</t>
        </is>
      </c>
    </row>
    <row r="164">
      <c r="A164" t="inlineStr">
        <is>
          <t>SKP-2025-0258</t>
        </is>
      </c>
      <c r="B164" t="inlineStr">
        <is>
          <t>2025-01-17</t>
        </is>
      </c>
      <c r="C164" t="inlineStr">
        <is>
          <t>WL-01918</t>
        </is>
      </c>
      <c r="D164" t="inlineStr">
        <is>
          <t>Skip with no supporting records</t>
        </is>
      </c>
      <c r="E164" t="inlineStr">
        <is>
          <t>Priority 1</t>
        </is>
      </c>
    </row>
    <row r="165">
      <c r="A165" t="inlineStr">
        <is>
          <t>SKP-2025-0259</t>
        </is>
      </c>
      <c r="B165" t="inlineStr">
        <is>
          <t>2025-01-01</t>
        </is>
      </c>
      <c r="C165" t="inlineStr">
        <is>
          <t>WL-01382</t>
        </is>
      </c>
      <c r="D165" t="inlineStr">
        <is>
          <t>Skip with no supporting records</t>
        </is>
      </c>
      <c r="E165" t="inlineStr">
        <is>
          <t>Priority 1</t>
        </is>
      </c>
    </row>
    <row r="166">
      <c r="A166" t="inlineStr">
        <is>
          <t>SKP-2025-0260</t>
        </is>
      </c>
      <c r="B166" t="inlineStr">
        <is>
          <t>2025-01-12</t>
        </is>
      </c>
      <c r="C166" t="inlineStr">
        <is>
          <t>WL-03888</t>
        </is>
      </c>
      <c r="D166" t="inlineStr">
        <is>
          <t>Skip with no supporting records</t>
        </is>
      </c>
      <c r="E166" t="inlineStr">
        <is>
          <t>Priority 1</t>
        </is>
      </c>
    </row>
    <row r="167">
      <c r="A167" t="inlineStr">
        <is>
          <t>SKP-2025-0261</t>
        </is>
      </c>
      <c r="B167" t="inlineStr">
        <is>
          <t>2025-01-16</t>
        </is>
      </c>
      <c r="C167" t="inlineStr">
        <is>
          <t>WL-02733</t>
        </is>
      </c>
      <c r="D167" t="inlineStr">
        <is>
          <t>Skip with no supporting records</t>
        </is>
      </c>
      <c r="E167" t="inlineStr">
        <is>
          <t>Priority 1</t>
        </is>
      </c>
    </row>
    <row r="168">
      <c r="A168" t="inlineStr">
        <is>
          <t>SKP-2025-0262</t>
        </is>
      </c>
      <c r="B168" t="inlineStr">
        <is>
          <t>2025-02-20</t>
        </is>
      </c>
      <c r="C168" t="inlineStr">
        <is>
          <t>WL-03244</t>
        </is>
      </c>
      <c r="D168" t="inlineStr">
        <is>
          <t>Skip with no supporting records</t>
        </is>
      </c>
      <c r="E168" t="inlineStr">
        <is>
          <t>Priority 1</t>
        </is>
      </c>
    </row>
    <row r="169">
      <c r="A169" t="inlineStr">
        <is>
          <t>SKP-2025-0263</t>
        </is>
      </c>
      <c r="B169" t="inlineStr">
        <is>
          <t>2025-03-22</t>
        </is>
      </c>
      <c r="C169" t="inlineStr">
        <is>
          <t>WL-02067</t>
        </is>
      </c>
      <c r="D169" t="inlineStr">
        <is>
          <t>Skip with no supporting records</t>
        </is>
      </c>
      <c r="E169" t="inlineStr">
        <is>
          <t>Priority 1</t>
        </is>
      </c>
    </row>
    <row r="170">
      <c r="A170" t="inlineStr">
        <is>
          <t>SKP-2025-0264</t>
        </is>
      </c>
      <c r="B170" t="inlineStr">
        <is>
          <t>2025-03-27</t>
        </is>
      </c>
      <c r="C170" t="inlineStr">
        <is>
          <t>WL-01523</t>
        </is>
      </c>
      <c r="D170" t="inlineStr">
        <is>
          <t>Skip with no supporting records</t>
        </is>
      </c>
      <c r="E170" t="inlineStr">
        <is>
          <t>Priority 1</t>
        </is>
      </c>
    </row>
    <row r="171">
      <c r="A171" t="inlineStr">
        <is>
          <t>SKP-2025-0265</t>
        </is>
      </c>
      <c r="B171" t="inlineStr">
        <is>
          <t>2025-03-12</t>
        </is>
      </c>
      <c r="C171" t="inlineStr">
        <is>
          <t>WL-03442</t>
        </is>
      </c>
      <c r="D171" t="inlineStr">
        <is>
          <t>Skip with no supporting records</t>
        </is>
      </c>
      <c r="E171" t="inlineStr">
        <is>
          <t>Priority 1</t>
        </is>
      </c>
    </row>
    <row r="172">
      <c r="A172" t="inlineStr">
        <is>
          <t>SKP-2025-0266</t>
        </is>
      </c>
      <c r="B172" t="inlineStr">
        <is>
          <t>2025-03-09</t>
        </is>
      </c>
      <c r="C172" t="inlineStr">
        <is>
          <t>WL-03604</t>
        </is>
      </c>
      <c r="D172" t="inlineStr">
        <is>
          <t>Skip with no supporting records</t>
        </is>
      </c>
      <c r="E172" t="inlineStr">
        <is>
          <t>Priority 1</t>
        </is>
      </c>
    </row>
    <row r="173">
      <c r="A173" t="inlineStr">
        <is>
          <t>SKP-2025-0267</t>
        </is>
      </c>
      <c r="B173" t="inlineStr">
        <is>
          <t>2025-03-01</t>
        </is>
      </c>
      <c r="C173" t="inlineStr">
        <is>
          <t>WL-03815</t>
        </is>
      </c>
      <c r="D173" t="inlineStr">
        <is>
          <t>Skip with no supporting records</t>
        </is>
      </c>
      <c r="E173" t="inlineStr">
        <is>
          <t>Priority 1</t>
        </is>
      </c>
    </row>
    <row r="174">
      <c r="A174" t="inlineStr">
        <is>
          <t>SKP-2025-0268</t>
        </is>
      </c>
      <c r="B174" t="inlineStr">
        <is>
          <t>2025-04-16</t>
        </is>
      </c>
      <c r="C174" t="inlineStr">
        <is>
          <t>WL-01578</t>
        </is>
      </c>
      <c r="D174" t="inlineStr">
        <is>
          <t>Skip with no supporting records</t>
        </is>
      </c>
      <c r="E174" t="inlineStr">
        <is>
          <t>Priority 1</t>
        </is>
      </c>
    </row>
    <row r="175">
      <c r="A175" t="inlineStr">
        <is>
          <t>SKP-2025-0269</t>
        </is>
      </c>
      <c r="B175" t="inlineStr">
        <is>
          <t>2025-04-02</t>
        </is>
      </c>
      <c r="C175" t="inlineStr">
        <is>
          <t>WL-02178</t>
        </is>
      </c>
      <c r="D175" t="inlineStr">
        <is>
          <t>Skip with no supporting records</t>
        </is>
      </c>
      <c r="E175" t="inlineStr">
        <is>
          <t>Priority 1</t>
        </is>
      </c>
    </row>
    <row r="176">
      <c r="A176" t="inlineStr">
        <is>
          <t>SKP-2025-0270</t>
        </is>
      </c>
      <c r="B176" t="inlineStr">
        <is>
          <t>2025-04-09</t>
        </is>
      </c>
      <c r="C176" t="inlineStr">
        <is>
          <t>WL-02653</t>
        </is>
      </c>
      <c r="D176" t="inlineStr">
        <is>
          <t>Skip with no supporting records</t>
        </is>
      </c>
      <c r="E176" t="inlineStr">
        <is>
          <t>Priority 1</t>
        </is>
      </c>
    </row>
    <row r="177">
      <c r="A177" t="inlineStr">
        <is>
          <t>SKP-2025-0271</t>
        </is>
      </c>
      <c r="B177" t="inlineStr">
        <is>
          <t>2025-04-07</t>
        </is>
      </c>
      <c r="C177" t="inlineStr">
        <is>
          <t>WL-01808</t>
        </is>
      </c>
      <c r="D177" t="inlineStr">
        <is>
          <t>Skip with no supporting records</t>
        </is>
      </c>
      <c r="E177" t="inlineStr">
        <is>
          <t>Priority 1</t>
        </is>
      </c>
    </row>
    <row r="178">
      <c r="A178" t="inlineStr">
        <is>
          <t>SKP-2025-0272</t>
        </is>
      </c>
      <c r="B178" t="inlineStr">
        <is>
          <t>2025-04-22</t>
        </is>
      </c>
      <c r="C178" t="inlineStr">
        <is>
          <t>WL-02693</t>
        </is>
      </c>
      <c r="D178" t="inlineStr">
        <is>
          <t>Skip with no supporting records</t>
        </is>
      </c>
      <c r="E178" t="inlineStr">
        <is>
          <t>Priority 1</t>
        </is>
      </c>
    </row>
    <row r="179">
      <c r="A179" t="inlineStr">
        <is>
          <t>SKP-2025-0273</t>
        </is>
      </c>
      <c r="B179" t="inlineStr">
        <is>
          <t>2025-04-27</t>
        </is>
      </c>
      <c r="C179" t="inlineStr">
        <is>
          <t>WL-01328</t>
        </is>
      </c>
      <c r="D179" t="inlineStr">
        <is>
          <t>Skip with no supporting records</t>
        </is>
      </c>
      <c r="E179" t="inlineStr">
        <is>
          <t>Priority 1</t>
        </is>
      </c>
    </row>
    <row r="180">
      <c r="A180" t="inlineStr">
        <is>
          <t>SKP-2025-0274</t>
        </is>
      </c>
      <c r="B180" t="inlineStr">
        <is>
          <t>2025-04-09</t>
        </is>
      </c>
      <c r="C180" t="inlineStr">
        <is>
          <t>WL-02188</t>
        </is>
      </c>
      <c r="D180" t="inlineStr">
        <is>
          <t>Skip with no supporting records</t>
        </is>
      </c>
      <c r="E180" t="inlineStr">
        <is>
          <t>Priority 1</t>
        </is>
      </c>
    </row>
    <row r="181">
      <c r="A181" t="inlineStr">
        <is>
          <t>SKP-2025-0275</t>
        </is>
      </c>
      <c r="B181" t="inlineStr">
        <is>
          <t>2025-04-05</t>
        </is>
      </c>
      <c r="C181" t="inlineStr">
        <is>
          <t>WL-02524</t>
        </is>
      </c>
      <c r="D181" t="inlineStr">
        <is>
          <t>Skip with no supporting records</t>
        </is>
      </c>
      <c r="E181" t="inlineStr">
        <is>
          <t>Priority 1</t>
        </is>
      </c>
    </row>
    <row r="182">
      <c r="A182" t="inlineStr">
        <is>
          <t>SKP-2025-0276</t>
        </is>
      </c>
      <c r="B182" t="inlineStr">
        <is>
          <t>2025-04-14</t>
        </is>
      </c>
      <c r="C182" t="inlineStr">
        <is>
          <t>WL-02845</t>
        </is>
      </c>
      <c r="D182" t="inlineStr">
        <is>
          <t>Skip with no supporting records</t>
        </is>
      </c>
      <c r="E182" t="inlineStr">
        <is>
          <t>Priority 1</t>
        </is>
      </c>
    </row>
    <row r="183">
      <c r="A183" t="inlineStr">
        <is>
          <t>SKP-2025-0277</t>
        </is>
      </c>
      <c r="B183" t="inlineStr">
        <is>
          <t>2025-05-07</t>
        </is>
      </c>
      <c r="C183" t="inlineStr">
        <is>
          <t>WL-03839</t>
        </is>
      </c>
      <c r="D183" t="inlineStr">
        <is>
          <t>Skip with no supporting records</t>
        </is>
      </c>
      <c r="E183" t="inlineStr">
        <is>
          <t>Priority 1</t>
        </is>
      </c>
    </row>
    <row r="184">
      <c r="A184" t="inlineStr">
        <is>
          <t>SKP-2025-0278</t>
        </is>
      </c>
      <c r="B184" t="inlineStr">
        <is>
          <t>2025-05-17</t>
        </is>
      </c>
      <c r="C184" t="inlineStr">
        <is>
          <t>WL-03094</t>
        </is>
      </c>
      <c r="D184" t="inlineStr">
        <is>
          <t>Skip with no supporting records</t>
        </is>
      </c>
      <c r="E184" t="inlineStr">
        <is>
          <t>Priority 1</t>
        </is>
      </c>
    </row>
    <row r="185">
      <c r="A185" t="inlineStr">
        <is>
          <t>SKP-2025-0279</t>
        </is>
      </c>
      <c r="B185" t="inlineStr">
        <is>
          <t>2025-05-05</t>
        </is>
      </c>
      <c r="C185" t="inlineStr">
        <is>
          <t>WL-03662</t>
        </is>
      </c>
      <c r="D185" t="inlineStr">
        <is>
          <t>Skip with no supporting records</t>
        </is>
      </c>
      <c r="E185" t="inlineStr">
        <is>
          <t>Priority 1</t>
        </is>
      </c>
    </row>
    <row r="186">
      <c r="A186" t="inlineStr">
        <is>
          <t>SKP-2025-0280</t>
        </is>
      </c>
      <c r="B186" t="inlineStr">
        <is>
          <t>2025-05-07</t>
        </is>
      </c>
      <c r="C186" t="inlineStr">
        <is>
          <t>WL-01472</t>
        </is>
      </c>
      <c r="D186" t="inlineStr">
        <is>
          <t>Skip with no supporting records</t>
        </is>
      </c>
      <c r="E186" t="inlineStr">
        <is>
          <t>Priority 1</t>
        </is>
      </c>
    </row>
    <row r="187">
      <c r="A187" t="inlineStr">
        <is>
          <t>SKP-2025-0281</t>
        </is>
      </c>
      <c r="B187" t="inlineStr">
        <is>
          <t>2025-05-10</t>
        </is>
      </c>
      <c r="C187" t="inlineStr">
        <is>
          <t>WL-03360</t>
        </is>
      </c>
      <c r="D187" t="inlineStr">
        <is>
          <t>Skip with no supporting records</t>
        </is>
      </c>
      <c r="E187" t="inlineStr">
        <is>
          <t>Priority 1</t>
        </is>
      </c>
    </row>
    <row r="188">
      <c r="A188" t="inlineStr">
        <is>
          <t>SKP-2025-0282</t>
        </is>
      </c>
      <c r="B188" t="inlineStr">
        <is>
          <t>2025-06-18</t>
        </is>
      </c>
      <c r="C188" t="inlineStr">
        <is>
          <t>WL-02747</t>
        </is>
      </c>
      <c r="D188" t="inlineStr">
        <is>
          <t>Skip with no supporting records</t>
        </is>
      </c>
      <c r="E188" t="inlineStr">
        <is>
          <t>Priority 1</t>
        </is>
      </c>
    </row>
    <row r="189">
      <c r="A189" t="inlineStr">
        <is>
          <t>SKP-2025-0283</t>
        </is>
      </c>
      <c r="B189" t="inlineStr">
        <is>
          <t>2025-06-18</t>
        </is>
      </c>
      <c r="C189" t="inlineStr">
        <is>
          <t>WL-01333</t>
        </is>
      </c>
      <c r="D189" t="inlineStr">
        <is>
          <t>Skip with no supporting records</t>
        </is>
      </c>
      <c r="E189" t="inlineStr">
        <is>
          <t>Priority 1</t>
        </is>
      </c>
    </row>
    <row r="190">
      <c r="A190" t="inlineStr">
        <is>
          <t>SKP-2025-0284</t>
        </is>
      </c>
      <c r="B190" t="inlineStr">
        <is>
          <t>2025-06-15</t>
        </is>
      </c>
      <c r="C190" t="inlineStr">
        <is>
          <t>WL-02698</t>
        </is>
      </c>
      <c r="D190" t="inlineStr">
        <is>
          <t>Skip with no supporting records</t>
        </is>
      </c>
      <c r="E190" t="inlineStr">
        <is>
          <t>Priority 1</t>
        </is>
      </c>
    </row>
    <row r="191">
      <c r="A191" t="inlineStr">
        <is>
          <t>SKP-2025-0285</t>
        </is>
      </c>
      <c r="B191" t="inlineStr">
        <is>
          <t>2025-06-02</t>
        </is>
      </c>
      <c r="C191" t="inlineStr">
        <is>
          <t>WL-03047</t>
        </is>
      </c>
      <c r="D191" t="inlineStr">
        <is>
          <t>Skip with no supporting records</t>
        </is>
      </c>
      <c r="E191" t="inlineStr">
        <is>
          <t>Priority 1</t>
        </is>
      </c>
    </row>
    <row r="192">
      <c r="A192" t="inlineStr">
        <is>
          <t>SKP-2025-0286</t>
        </is>
      </c>
      <c r="B192" t="inlineStr">
        <is>
          <t>2025-06-14</t>
        </is>
      </c>
      <c r="C192" t="inlineStr">
        <is>
          <t>WL-01151</t>
        </is>
      </c>
      <c r="D192" t="inlineStr">
        <is>
          <t>Skip with no supporting records</t>
        </is>
      </c>
      <c r="E192" t="inlineStr">
        <is>
          <t>Priority 1</t>
        </is>
      </c>
    </row>
    <row r="193">
      <c r="A193" t="inlineStr">
        <is>
          <t>SKP-2025-0287</t>
        </is>
      </c>
      <c r="B193" t="inlineStr">
        <is>
          <t>2025-06-19</t>
        </is>
      </c>
      <c r="C193" t="inlineStr">
        <is>
          <t>WL-02314</t>
        </is>
      </c>
      <c r="D193" t="inlineStr">
        <is>
          <t>Skip with no supporting records</t>
        </is>
      </c>
      <c r="E193" t="inlineStr">
        <is>
          <t>Priority 1</t>
        </is>
      </c>
    </row>
    <row r="194">
      <c r="A194" t="inlineStr">
        <is>
          <t>SKP-2025-0288</t>
        </is>
      </c>
      <c r="B194" t="inlineStr">
        <is>
          <t>2025-06-09</t>
        </is>
      </c>
      <c r="C194" t="inlineStr">
        <is>
          <t>WL-02356</t>
        </is>
      </c>
      <c r="D194" t="inlineStr">
        <is>
          <t>Skip with no supporting records</t>
        </is>
      </c>
      <c r="E194" t="inlineStr">
        <is>
          <t>Priority 1</t>
        </is>
      </c>
    </row>
    <row r="195">
      <c r="A195" t="inlineStr">
        <is>
          <t>SKP-2025-0289</t>
        </is>
      </c>
      <c r="B195" t="inlineStr">
        <is>
          <t>2025-06-02</t>
        </is>
      </c>
      <c r="C195" t="inlineStr">
        <is>
          <t>WL-02013</t>
        </is>
      </c>
      <c r="D195" t="inlineStr">
        <is>
          <t>Skip with no supporting records</t>
        </is>
      </c>
      <c r="E195" t="inlineStr">
        <is>
          <t>Priority 1</t>
        </is>
      </c>
    </row>
    <row r="196">
      <c r="A196" t="inlineStr">
        <is>
          <t>SKP-2025-0290</t>
        </is>
      </c>
      <c r="B196" t="inlineStr">
        <is>
          <t>2025-07-10</t>
        </is>
      </c>
      <c r="C196" t="inlineStr">
        <is>
          <t>WL-01813</t>
        </is>
      </c>
      <c r="D196" t="inlineStr">
        <is>
          <t>Skip with no supporting records</t>
        </is>
      </c>
      <c r="E196" t="inlineStr">
        <is>
          <t>Priority 1</t>
        </is>
      </c>
    </row>
    <row r="197">
      <c r="A197" t="inlineStr">
        <is>
          <t>SKP-2025-0291</t>
        </is>
      </c>
      <c r="B197" t="inlineStr">
        <is>
          <t>2025-07-25</t>
        </is>
      </c>
      <c r="C197" t="inlineStr">
        <is>
          <t>WL-03227</t>
        </is>
      </c>
      <c r="D197" t="inlineStr">
        <is>
          <t>Skip with no supporting records</t>
        </is>
      </c>
      <c r="E197" t="inlineStr">
        <is>
          <t>Priority 1</t>
        </is>
      </c>
    </row>
    <row r="198">
      <c r="A198" t="inlineStr">
        <is>
          <t>SKP-2025-0292</t>
        </is>
      </c>
      <c r="B198" t="inlineStr">
        <is>
          <t>2025-07-06</t>
        </is>
      </c>
      <c r="C198" t="inlineStr">
        <is>
          <t>WL-02298</t>
        </is>
      </c>
      <c r="D198" t="inlineStr">
        <is>
          <t>Skip with no supporting records</t>
        </is>
      </c>
      <c r="E198" t="inlineStr">
        <is>
          <t>Priority 1</t>
        </is>
      </c>
    </row>
    <row r="199">
      <c r="A199" t="inlineStr">
        <is>
          <t>SKP-2025-0293</t>
        </is>
      </c>
      <c r="B199" t="inlineStr">
        <is>
          <t>2025-07-12</t>
        </is>
      </c>
      <c r="C199" t="inlineStr">
        <is>
          <t>WL-03516</t>
        </is>
      </c>
      <c r="D199" t="inlineStr">
        <is>
          <t>Skip with no supporting records</t>
        </is>
      </c>
      <c r="E199" t="inlineStr">
        <is>
          <t>Priority 1</t>
        </is>
      </c>
    </row>
    <row r="200">
      <c r="A200" t="inlineStr">
        <is>
          <t>SKP-2025-0294</t>
        </is>
      </c>
      <c r="B200" t="inlineStr">
        <is>
          <t>2025-07-11</t>
        </is>
      </c>
      <c r="C200" t="inlineStr">
        <is>
          <t>WL-03579</t>
        </is>
      </c>
      <c r="D200" t="inlineStr">
        <is>
          <t>Skip with no supporting records</t>
        </is>
      </c>
      <c r="E200" t="inlineStr">
        <is>
          <t>Priority 1</t>
        </is>
      </c>
    </row>
    <row r="201">
      <c r="A201" t="inlineStr">
        <is>
          <t>SKP-2025-0295</t>
        </is>
      </c>
      <c r="B201" t="inlineStr">
        <is>
          <t>2025-07-17</t>
        </is>
      </c>
      <c r="C201" t="inlineStr">
        <is>
          <t>WL-03248</t>
        </is>
      </c>
      <c r="D201" t="inlineStr">
        <is>
          <t>Skip with no supporting records</t>
        </is>
      </c>
      <c r="E201" t="inlineStr">
        <is>
          <t>Priority 1</t>
        </is>
      </c>
    </row>
    <row r="202">
      <c r="A202" t="inlineStr">
        <is>
          <t>SKP-2025-0296</t>
        </is>
      </c>
      <c r="B202" t="inlineStr">
        <is>
          <t>2025-07-22</t>
        </is>
      </c>
      <c r="C202" t="inlineStr">
        <is>
          <t>WL-03526</t>
        </is>
      </c>
      <c r="D202" t="inlineStr">
        <is>
          <t>Skip with no supporting records</t>
        </is>
      </c>
      <c r="E202" t="inlineStr">
        <is>
          <t>Priority 1</t>
        </is>
      </c>
    </row>
    <row r="203">
      <c r="A203" t="inlineStr">
        <is>
          <t>SKP-2025-0297</t>
        </is>
      </c>
      <c r="B203" t="inlineStr">
        <is>
          <t>2025-07-28</t>
        </is>
      </c>
      <c r="C203" t="inlineStr">
        <is>
          <t>WL-03094</t>
        </is>
      </c>
      <c r="D203" t="inlineStr">
        <is>
          <t>Skip with no supporting records</t>
        </is>
      </c>
      <c r="E203" t="inlineStr">
        <is>
          <t>Priority 1</t>
        </is>
      </c>
    </row>
    <row r="204">
      <c r="A204" t="inlineStr">
        <is>
          <t>SKP-2025-0298</t>
        </is>
      </c>
      <c r="B204" t="inlineStr">
        <is>
          <t>2025-08-26</t>
        </is>
      </c>
      <c r="C204" t="inlineStr">
        <is>
          <t>WL-02774</t>
        </is>
      </c>
      <c r="D204" t="inlineStr">
        <is>
          <t>Skip with no supporting records</t>
        </is>
      </c>
      <c r="E204" t="inlineStr">
        <is>
          <t>Priority 1</t>
        </is>
      </c>
    </row>
    <row r="205">
      <c r="A205" t="inlineStr">
        <is>
          <t>SKP-2025-0299</t>
        </is>
      </c>
      <c r="B205" t="inlineStr">
        <is>
          <t>2025-08-26</t>
        </is>
      </c>
      <c r="C205" t="inlineStr">
        <is>
          <t>WL-03311</t>
        </is>
      </c>
      <c r="D205" t="inlineStr">
        <is>
          <t>Skip with no supporting records</t>
        </is>
      </c>
      <c r="E205" t="inlineStr">
        <is>
          <t>Priority 1</t>
        </is>
      </c>
    </row>
    <row r="206">
      <c r="A206" t="inlineStr">
        <is>
          <t>SKP-2025-0300</t>
        </is>
      </c>
      <c r="B206" t="inlineStr">
        <is>
          <t>2025-08-18</t>
        </is>
      </c>
      <c r="C206" t="inlineStr">
        <is>
          <t>WL-01537</t>
        </is>
      </c>
      <c r="D206" t="inlineStr">
        <is>
          <t>Skip with no supporting records</t>
        </is>
      </c>
      <c r="E206" t="inlineStr">
        <is>
          <t>Priority 1</t>
        </is>
      </c>
    </row>
    <row r="207">
      <c r="A207" t="inlineStr">
        <is>
          <t>SKP-2025-0301</t>
        </is>
      </c>
      <c r="B207" t="inlineStr">
        <is>
          <t>2025-08-26</t>
        </is>
      </c>
      <c r="C207" t="inlineStr">
        <is>
          <t>WL-01788</t>
        </is>
      </c>
      <c r="D207" t="inlineStr">
        <is>
          <t>Skip with no supporting records</t>
        </is>
      </c>
      <c r="E207" t="inlineStr">
        <is>
          <t>Priority 1</t>
        </is>
      </c>
    </row>
    <row r="208">
      <c r="A208" t="inlineStr">
        <is>
          <t>SKP-2025-0302</t>
        </is>
      </c>
      <c r="B208" t="inlineStr">
        <is>
          <t>2025-08-22</t>
        </is>
      </c>
      <c r="C208" t="inlineStr">
        <is>
          <t>WL-01702</t>
        </is>
      </c>
      <c r="D208" t="inlineStr">
        <is>
          <t>Skip with no supporting records</t>
        </is>
      </c>
      <c r="E208" t="inlineStr">
        <is>
          <t>Priority 1</t>
        </is>
      </c>
    </row>
    <row r="209">
      <c r="A209" t="inlineStr">
        <is>
          <t>SKP-2025-0303</t>
        </is>
      </c>
      <c r="B209" t="inlineStr">
        <is>
          <t>2025-08-10</t>
        </is>
      </c>
      <c r="C209" t="inlineStr">
        <is>
          <t>WL-02607</t>
        </is>
      </c>
      <c r="D209" t="inlineStr">
        <is>
          <t>Skip with no supporting records</t>
        </is>
      </c>
      <c r="E209" t="inlineStr">
        <is>
          <t>Priority 1</t>
        </is>
      </c>
    </row>
    <row r="210">
      <c r="A210" t="inlineStr">
        <is>
          <t>SKP-2025-0304</t>
        </is>
      </c>
      <c r="B210" t="inlineStr">
        <is>
          <t>2025-08-15</t>
        </is>
      </c>
      <c r="C210" t="inlineStr">
        <is>
          <t>WL-03314</t>
        </is>
      </c>
      <c r="D210" t="inlineStr">
        <is>
          <t>Skip with no supporting records</t>
        </is>
      </c>
      <c r="E210" t="inlineStr">
        <is>
          <t>Priority 1</t>
        </is>
      </c>
    </row>
    <row r="211">
      <c r="A211" t="inlineStr">
        <is>
          <t>SKP-2025-0305</t>
        </is>
      </c>
      <c r="B211" t="inlineStr">
        <is>
          <t>2025-08-14</t>
        </is>
      </c>
      <c r="C211" t="inlineStr">
        <is>
          <t>WL-03134</t>
        </is>
      </c>
      <c r="D211" t="inlineStr">
        <is>
          <t>Skip with no supporting records</t>
        </is>
      </c>
      <c r="E211" t="inlineStr">
        <is>
          <t>Priority 1</t>
        </is>
      </c>
    </row>
    <row r="212">
      <c r="A212" t="inlineStr">
        <is>
          <t>SKP-2025-0306</t>
        </is>
      </c>
      <c r="B212" t="inlineStr">
        <is>
          <t>2025-08-08</t>
        </is>
      </c>
      <c r="C212" t="inlineStr">
        <is>
          <t>WL-02912</t>
        </is>
      </c>
      <c r="D212" t="inlineStr">
        <is>
          <t>Skip with no supporting records</t>
        </is>
      </c>
      <c r="E212" t="inlineStr">
        <is>
          <t>Priority 1</t>
        </is>
      </c>
    </row>
    <row r="213">
      <c r="A213" t="inlineStr">
        <is>
          <t>SKP-2025-0307</t>
        </is>
      </c>
      <c r="B213" t="inlineStr">
        <is>
          <t>2025-08-05</t>
        </is>
      </c>
      <c r="C213" t="inlineStr">
        <is>
          <t>WL-02323</t>
        </is>
      </c>
      <c r="D213" t="inlineStr">
        <is>
          <t>Skip with no supporting records</t>
        </is>
      </c>
      <c r="E213" t="inlineStr">
        <is>
          <t>Priority 1</t>
        </is>
      </c>
    </row>
    <row r="214">
      <c r="A214" t="inlineStr">
        <is>
          <t>SKP-2025-0308</t>
        </is>
      </c>
      <c r="B214" t="inlineStr">
        <is>
          <t>2025-08-03</t>
        </is>
      </c>
      <c r="C214" t="inlineStr">
        <is>
          <t>WL-03481</t>
        </is>
      </c>
      <c r="D214" t="inlineStr">
        <is>
          <t>Skip with no supporting records</t>
        </is>
      </c>
      <c r="E214" t="inlineStr">
        <is>
          <t>Priority 1</t>
        </is>
      </c>
    </row>
    <row r="215">
      <c r="A215" t="inlineStr">
        <is>
          <t>SKP-2025-0309</t>
        </is>
      </c>
      <c r="B215" t="inlineStr">
        <is>
          <t>2025-08-28</t>
        </is>
      </c>
      <c r="C215" t="inlineStr">
        <is>
          <t>WL-02838</t>
        </is>
      </c>
      <c r="D215" t="inlineStr">
        <is>
          <t>Skip with no supporting records</t>
        </is>
      </c>
      <c r="E215" t="inlineStr">
        <is>
          <t>Priority 1</t>
        </is>
      </c>
    </row>
    <row r="216">
      <c r="A216" t="inlineStr">
        <is>
          <t>SKP-2025-0310</t>
        </is>
      </c>
      <c r="B216" t="inlineStr">
        <is>
          <t>2025-08-28</t>
        </is>
      </c>
      <c r="C216" t="inlineStr">
        <is>
          <t>WL-01617</t>
        </is>
      </c>
      <c r="D216" t="inlineStr">
        <is>
          <t>Skip with no supporting records</t>
        </is>
      </c>
      <c r="E216" t="inlineStr">
        <is>
          <t>Priority 1</t>
        </is>
      </c>
    </row>
    <row r="217">
      <c r="A217" t="inlineStr">
        <is>
          <t>SKP-2025-0311</t>
        </is>
      </c>
      <c r="B217" t="inlineStr">
        <is>
          <t>2025-08-19</t>
        </is>
      </c>
      <c r="C217" t="inlineStr">
        <is>
          <t>WL-01843</t>
        </is>
      </c>
      <c r="D217" t="inlineStr">
        <is>
          <t>Skip with no supporting records</t>
        </is>
      </c>
      <c r="E217" t="inlineStr">
        <is>
          <t>Priority 1</t>
        </is>
      </c>
    </row>
    <row r="218">
      <c r="A218" t="inlineStr">
        <is>
          <t>SKP-2025-0312</t>
        </is>
      </c>
      <c r="B218" t="inlineStr">
        <is>
          <t>2025-09-17</t>
        </is>
      </c>
      <c r="C218" t="inlineStr">
        <is>
          <t>WL-01715</t>
        </is>
      </c>
      <c r="D218" t="inlineStr">
        <is>
          <t>Skip with no supporting records</t>
        </is>
      </c>
      <c r="E218" t="inlineStr">
        <is>
          <t>Priority 1</t>
        </is>
      </c>
    </row>
    <row r="219">
      <c r="A219" t="inlineStr">
        <is>
          <t>SKP-2025-0313</t>
        </is>
      </c>
      <c r="B219" t="inlineStr">
        <is>
          <t>2025-09-03</t>
        </is>
      </c>
      <c r="C219" t="inlineStr">
        <is>
          <t>WL-01334</t>
        </is>
      </c>
      <c r="D219" t="inlineStr">
        <is>
          <t>Skip with no supporting records</t>
        </is>
      </c>
      <c r="E219" t="inlineStr">
        <is>
          <t>Priority 1</t>
        </is>
      </c>
    </row>
    <row r="220">
      <c r="A220" t="inlineStr">
        <is>
          <t>SKP-2025-0314</t>
        </is>
      </c>
      <c r="B220" t="inlineStr">
        <is>
          <t>2025-09-17</t>
        </is>
      </c>
      <c r="C220" t="inlineStr">
        <is>
          <t>WL-02428</t>
        </is>
      </c>
      <c r="D220" t="inlineStr">
        <is>
          <t>Skip with no supporting records</t>
        </is>
      </c>
      <c r="E220" t="inlineStr">
        <is>
          <t>Priority 1</t>
        </is>
      </c>
    </row>
    <row r="221">
      <c r="A221" t="inlineStr">
        <is>
          <t>SKP-2025-0315</t>
        </is>
      </c>
      <c r="B221" t="inlineStr">
        <is>
          <t>2025-09-22</t>
        </is>
      </c>
      <c r="C221" t="inlineStr">
        <is>
          <t>WL-03861</t>
        </is>
      </c>
      <c r="D221" t="inlineStr">
        <is>
          <t>Skip with no supporting records</t>
        </is>
      </c>
      <c r="E221" t="inlineStr">
        <is>
          <t>Priority 1</t>
        </is>
      </c>
    </row>
    <row r="222">
      <c r="A222" t="inlineStr">
        <is>
          <t>SKP-2025-0316</t>
        </is>
      </c>
      <c r="B222" t="inlineStr">
        <is>
          <t>2025-09-20</t>
        </is>
      </c>
      <c r="C222" t="inlineStr">
        <is>
          <t>WL-02153</t>
        </is>
      </c>
      <c r="D222" t="inlineStr">
        <is>
          <t>Skip with no supporting records</t>
        </is>
      </c>
      <c r="E222" t="inlineStr">
        <is>
          <t>Priority 1</t>
        </is>
      </c>
    </row>
    <row r="223">
      <c r="A223" t="inlineStr">
        <is>
          <t>SKP-2025-0317</t>
        </is>
      </c>
      <c r="B223" t="inlineStr">
        <is>
          <t>2025-09-23</t>
        </is>
      </c>
      <c r="C223" t="inlineStr">
        <is>
          <t>WL-02445</t>
        </is>
      </c>
      <c r="D223" t="inlineStr">
        <is>
          <t>Skip with no supporting records</t>
        </is>
      </c>
      <c r="E223" t="inlineStr">
        <is>
          <t>Priority 1</t>
        </is>
      </c>
    </row>
    <row r="224">
      <c r="A224" t="inlineStr">
        <is>
          <t>SKP-2025-0318</t>
        </is>
      </c>
      <c r="B224" t="inlineStr">
        <is>
          <t>2025-09-19</t>
        </is>
      </c>
      <c r="C224" t="inlineStr">
        <is>
          <t>WL-02890</t>
        </is>
      </c>
      <c r="D224" t="inlineStr">
        <is>
          <t>Skip with no supporting records</t>
        </is>
      </c>
      <c r="E224" t="inlineStr">
        <is>
          <t>Priority 1</t>
        </is>
      </c>
    </row>
    <row r="225">
      <c r="A225" t="inlineStr">
        <is>
          <t>SKP-2025-0319</t>
        </is>
      </c>
      <c r="B225" t="inlineStr">
        <is>
          <t>2025-09-20</t>
        </is>
      </c>
      <c r="C225" t="inlineStr">
        <is>
          <t>WL-01913</t>
        </is>
      </c>
      <c r="D225" t="inlineStr">
        <is>
          <t>Skip with no supporting records</t>
        </is>
      </c>
      <c r="E225" t="inlineStr">
        <is>
          <t>Priority 1</t>
        </is>
      </c>
    </row>
    <row r="226">
      <c r="A226" t="inlineStr">
        <is>
          <t>SKP-2025-0320</t>
        </is>
      </c>
      <c r="B226" t="inlineStr">
        <is>
          <t>2025-09-09</t>
        </is>
      </c>
      <c r="C226" t="inlineStr">
        <is>
          <t>WL-02167</t>
        </is>
      </c>
      <c r="D226" t="inlineStr">
        <is>
          <t>Skip with no supporting records</t>
        </is>
      </c>
      <c r="E226" t="inlineStr">
        <is>
          <t>Priority 1</t>
        </is>
      </c>
    </row>
    <row r="227">
      <c r="A227" t="inlineStr">
        <is>
          <t>SKP-2025-0321</t>
        </is>
      </c>
      <c r="B227" t="inlineStr">
        <is>
          <t>2025-09-11</t>
        </is>
      </c>
      <c r="C227" t="inlineStr">
        <is>
          <t>WL-03865</t>
        </is>
      </c>
      <c r="D227" t="inlineStr">
        <is>
          <t>Skip with no supporting records</t>
        </is>
      </c>
      <c r="E227" t="inlineStr">
        <is>
          <t>Priority 1</t>
        </is>
      </c>
    </row>
    <row r="228">
      <c r="A228" t="inlineStr">
        <is>
          <t>SKP-2025-0322</t>
        </is>
      </c>
      <c r="B228" t="inlineStr">
        <is>
          <t>2025-09-05</t>
        </is>
      </c>
      <c r="C228" t="inlineStr">
        <is>
          <t>WL-02002</t>
        </is>
      </c>
      <c r="D228" t="inlineStr">
        <is>
          <t>Skip with no supporting records</t>
        </is>
      </c>
      <c r="E228" t="inlineStr">
        <is>
          <t>Priority 1</t>
        </is>
      </c>
    </row>
    <row r="229">
      <c r="A229" t="inlineStr">
        <is>
          <t>SKP-2025-0323</t>
        </is>
      </c>
      <c r="B229" t="inlineStr">
        <is>
          <t>2025-10-26</t>
        </is>
      </c>
      <c r="C229" t="inlineStr">
        <is>
          <t>WL-02284</t>
        </is>
      </c>
      <c r="D229" t="inlineStr">
        <is>
          <t>Skip with no supporting records</t>
        </is>
      </c>
      <c r="E229" t="inlineStr">
        <is>
          <t>Priority 1</t>
        </is>
      </c>
    </row>
    <row r="230">
      <c r="A230" t="inlineStr">
        <is>
          <t>SKP-2025-0324</t>
        </is>
      </c>
      <c r="B230" t="inlineStr">
        <is>
          <t>2025-10-28</t>
        </is>
      </c>
      <c r="C230" t="inlineStr">
        <is>
          <t>WL-02187</t>
        </is>
      </c>
      <c r="D230" t="inlineStr">
        <is>
          <t>Skip with no supporting records</t>
        </is>
      </c>
      <c r="E230" t="inlineStr">
        <is>
          <t>Priority 1</t>
        </is>
      </c>
    </row>
    <row r="231">
      <c r="A231" t="inlineStr">
        <is>
          <t>SKP-2025-0325</t>
        </is>
      </c>
      <c r="B231" t="inlineStr">
        <is>
          <t>2025-10-03</t>
        </is>
      </c>
      <c r="C231" t="inlineStr">
        <is>
          <t>WL-03750</t>
        </is>
      </c>
      <c r="D231" t="inlineStr">
        <is>
          <t>Skip with no supporting records</t>
        </is>
      </c>
      <c r="E231" t="inlineStr">
        <is>
          <t>Priority 1</t>
        </is>
      </c>
    </row>
    <row r="232">
      <c r="A232" t="inlineStr">
        <is>
          <t>SKP-2025-0326</t>
        </is>
      </c>
      <c r="B232" t="inlineStr">
        <is>
          <t>2025-10-26</t>
        </is>
      </c>
      <c r="C232" t="inlineStr">
        <is>
          <t>WL-03857</t>
        </is>
      </c>
      <c r="D232" t="inlineStr">
        <is>
          <t>Skip with no supporting records</t>
        </is>
      </c>
      <c r="E232" t="inlineStr">
        <is>
          <t>Priority 1</t>
        </is>
      </c>
    </row>
    <row r="233">
      <c r="A233" t="inlineStr">
        <is>
          <t>SKP-2025-0327</t>
        </is>
      </c>
      <c r="B233" t="inlineStr">
        <is>
          <t>2025-10-23</t>
        </is>
      </c>
      <c r="C233" t="inlineStr">
        <is>
          <t>WL-01645</t>
        </is>
      </c>
      <c r="D233" t="inlineStr">
        <is>
          <t>Skip with no supporting records</t>
        </is>
      </c>
      <c r="E233" t="inlineStr">
        <is>
          <t>Priority 1</t>
        </is>
      </c>
    </row>
    <row r="234">
      <c r="A234" t="inlineStr">
        <is>
          <t>SKP-2025-0328</t>
        </is>
      </c>
      <c r="B234" t="inlineStr">
        <is>
          <t>2025-10-11</t>
        </is>
      </c>
      <c r="C234" t="inlineStr">
        <is>
          <t>WL-01089</t>
        </is>
      </c>
      <c r="D234" t="inlineStr">
        <is>
          <t>Skip with no supporting records</t>
        </is>
      </c>
      <c r="E234" t="inlineStr">
        <is>
          <t>Priority 1</t>
        </is>
      </c>
    </row>
    <row r="235">
      <c r="A235" t="inlineStr">
        <is>
          <t>SKP-2025-0329</t>
        </is>
      </c>
      <c r="B235" t="inlineStr">
        <is>
          <t>2025-10-13</t>
        </is>
      </c>
      <c r="C235" t="inlineStr">
        <is>
          <t>WL-01128</t>
        </is>
      </c>
      <c r="D235" t="inlineStr">
        <is>
          <t>Skip with no supporting records</t>
        </is>
      </c>
      <c r="E235" t="inlineStr">
        <is>
          <t>Priority 1</t>
        </is>
      </c>
    </row>
    <row r="236">
      <c r="A236" t="inlineStr">
        <is>
          <t>SKP-2025-0330</t>
        </is>
      </c>
      <c r="B236" t="inlineStr">
        <is>
          <t>2025-10-02</t>
        </is>
      </c>
      <c r="C236" t="inlineStr">
        <is>
          <t>WL-02676</t>
        </is>
      </c>
      <c r="D236" t="inlineStr">
        <is>
          <t>Skip with no supporting records</t>
        </is>
      </c>
      <c r="E236" t="inlineStr">
        <is>
          <t>Priority 1</t>
        </is>
      </c>
    </row>
    <row r="237">
      <c r="A237" t="inlineStr">
        <is>
          <t>SKP-2025-0331</t>
        </is>
      </c>
      <c r="B237" t="inlineStr">
        <is>
          <t>2025-10-07</t>
        </is>
      </c>
      <c r="C237" t="inlineStr">
        <is>
          <t>WL-03455</t>
        </is>
      </c>
      <c r="D237" t="inlineStr">
        <is>
          <t>Skip with no supporting records</t>
        </is>
      </c>
      <c r="E237" t="inlineStr">
        <is>
          <t>Priority 1</t>
        </is>
      </c>
    </row>
    <row r="238">
      <c r="A238" t="inlineStr">
        <is>
          <t>SKP-2025-0332</t>
        </is>
      </c>
      <c r="B238" t="inlineStr">
        <is>
          <t>2025-10-13</t>
        </is>
      </c>
      <c r="C238" t="inlineStr">
        <is>
          <t>WL-02711</t>
        </is>
      </c>
      <c r="D238" t="inlineStr">
        <is>
          <t>Skip with no supporting records</t>
        </is>
      </c>
      <c r="E238" t="inlineStr">
        <is>
          <t>Priority 1</t>
        </is>
      </c>
    </row>
    <row r="239">
      <c r="A239" t="inlineStr">
        <is>
          <t>SKP-2025-0333</t>
        </is>
      </c>
      <c r="B239" t="inlineStr">
        <is>
          <t>2025-10-13</t>
        </is>
      </c>
      <c r="C239" t="inlineStr">
        <is>
          <t>WL-02448</t>
        </is>
      </c>
      <c r="D239" t="inlineStr">
        <is>
          <t>Skip with no supporting records</t>
        </is>
      </c>
      <c r="E239" t="inlineStr">
        <is>
          <t>Priority 1</t>
        </is>
      </c>
    </row>
    <row r="240">
      <c r="A240" t="inlineStr">
        <is>
          <t>SKP-2025-0334</t>
        </is>
      </c>
      <c r="B240" t="inlineStr">
        <is>
          <t>2025-11-27</t>
        </is>
      </c>
      <c r="C240" t="inlineStr">
        <is>
          <t>WL-01264</t>
        </is>
      </c>
      <c r="D240" t="inlineStr">
        <is>
          <t>Skip with no supporting records</t>
        </is>
      </c>
      <c r="E240" t="inlineStr">
        <is>
          <t>Priority 1</t>
        </is>
      </c>
    </row>
    <row r="241">
      <c r="A241" t="inlineStr">
        <is>
          <t>SKP-2025-0335</t>
        </is>
      </c>
      <c r="B241" t="inlineStr">
        <is>
          <t>2025-11-17</t>
        </is>
      </c>
      <c r="C241" t="inlineStr">
        <is>
          <t>WL-02404</t>
        </is>
      </c>
      <c r="D241" t="inlineStr">
        <is>
          <t>Skip with no supporting records</t>
        </is>
      </c>
      <c r="E241" t="inlineStr">
        <is>
          <t>Priority 1</t>
        </is>
      </c>
    </row>
    <row r="242">
      <c r="A242" t="inlineStr">
        <is>
          <t>SKP-2025-0336</t>
        </is>
      </c>
      <c r="B242" t="inlineStr">
        <is>
          <t>2025-12-15</t>
        </is>
      </c>
      <c r="C242" t="inlineStr">
        <is>
          <t>WL-01776</t>
        </is>
      </c>
      <c r="D242" t="inlineStr">
        <is>
          <t>Skip with no supporting records</t>
        </is>
      </c>
      <c r="E242" t="inlineStr">
        <is>
          <t>Priority 1</t>
        </is>
      </c>
    </row>
    <row r="243">
      <c r="A243" t="inlineStr">
        <is>
          <t>SKP-2025-0337</t>
        </is>
      </c>
      <c r="B243" t="inlineStr">
        <is>
          <t>2025-12-26</t>
        </is>
      </c>
      <c r="C243" t="inlineStr">
        <is>
          <t>WL-02991</t>
        </is>
      </c>
      <c r="D243" t="inlineStr">
        <is>
          <t>Skip with no supporting records</t>
        </is>
      </c>
      <c r="E243" t="inlineStr">
        <is>
          <t>Priority 1</t>
        </is>
      </c>
    </row>
    <row r="244">
      <c r="A244" t="inlineStr">
        <is>
          <t>SKP-2026-0338</t>
        </is>
      </c>
      <c r="B244" t="inlineStr">
        <is>
          <t>2026-01-13</t>
        </is>
      </c>
      <c r="C244" t="inlineStr">
        <is>
          <t>WL-03011</t>
        </is>
      </c>
      <c r="D244" t="inlineStr">
        <is>
          <t>Skip with no supporting records</t>
        </is>
      </c>
      <c r="E244" t="inlineStr">
        <is>
          <t>Priority 1</t>
        </is>
      </c>
    </row>
    <row r="245">
      <c r="A245" t="inlineStr">
        <is>
          <t>SKP-2026-0339</t>
        </is>
      </c>
      <c r="B245" t="inlineStr">
        <is>
          <t>2026-01-13</t>
        </is>
      </c>
      <c r="C245" t="inlineStr">
        <is>
          <t>WL-01368</t>
        </is>
      </c>
      <c r="D245" t="inlineStr">
        <is>
          <t>Skip with no supporting records</t>
        </is>
      </c>
      <c r="E245" t="inlineStr">
        <is>
          <t>Priority 1</t>
        </is>
      </c>
    </row>
    <row r="246">
      <c r="A246" t="inlineStr">
        <is>
          <t>SKP-2026-0340</t>
        </is>
      </c>
      <c r="B246" t="inlineStr">
        <is>
          <t>2026-01-21</t>
        </is>
      </c>
      <c r="C246" t="inlineStr">
        <is>
          <t>WL-01435</t>
        </is>
      </c>
      <c r="D246" t="inlineStr">
        <is>
          <t>Skip with no supporting records</t>
        </is>
      </c>
      <c r="E246" t="inlineStr">
        <is>
          <t>Priority 1</t>
        </is>
      </c>
    </row>
    <row r="247">
      <c r="A247" t="inlineStr">
        <is>
          <t>SKP-2026-0341</t>
        </is>
      </c>
      <c r="B247" t="inlineStr">
        <is>
          <t>2026-01-27</t>
        </is>
      </c>
      <c r="C247" t="inlineStr">
        <is>
          <t>WL-03197</t>
        </is>
      </c>
      <c r="D247" t="inlineStr">
        <is>
          <t>Skip with no supporting records</t>
        </is>
      </c>
      <c r="E247" t="inlineStr">
        <is>
          <t>Priority 1</t>
        </is>
      </c>
    </row>
    <row r="248">
      <c r="A248" t="inlineStr">
        <is>
          <t>SKP-2026-0342</t>
        </is>
      </c>
      <c r="B248" t="inlineStr">
        <is>
          <t>2026-01-01</t>
        </is>
      </c>
      <c r="C248" t="inlineStr">
        <is>
          <t>WL-01558</t>
        </is>
      </c>
      <c r="D248" t="inlineStr">
        <is>
          <t>Skip with no supporting records</t>
        </is>
      </c>
      <c r="E248" t="inlineStr">
        <is>
          <t>Priority 1</t>
        </is>
      </c>
    </row>
    <row r="249">
      <c r="A249" t="inlineStr">
        <is>
          <t>SKP-2026-0343</t>
        </is>
      </c>
      <c r="B249" t="inlineStr">
        <is>
          <t>2026-01-01</t>
        </is>
      </c>
      <c r="C249" t="inlineStr">
        <is>
          <t>WL-03054</t>
        </is>
      </c>
      <c r="D249" t="inlineStr">
        <is>
          <t>Skip with no supporting records</t>
        </is>
      </c>
      <c r="E249" t="inlineStr">
        <is>
          <t>Priority 1</t>
        </is>
      </c>
    </row>
    <row r="250">
      <c r="A250" t="inlineStr">
        <is>
          <t>SKP-2026-0344</t>
        </is>
      </c>
      <c r="B250" t="inlineStr">
        <is>
          <t>2026-02-22</t>
        </is>
      </c>
      <c r="C250" t="inlineStr">
        <is>
          <t>WL-03817</t>
        </is>
      </c>
      <c r="D250" t="inlineStr">
        <is>
          <t>Skip with no supporting records</t>
        </is>
      </c>
      <c r="E250" t="inlineStr">
        <is>
          <t>Priority 1</t>
        </is>
      </c>
    </row>
    <row r="251">
      <c r="A251" t="inlineStr">
        <is>
          <t>SKP-2026-0345</t>
        </is>
      </c>
      <c r="B251" t="inlineStr">
        <is>
          <t>2026-02-27</t>
        </is>
      </c>
      <c r="C251" t="inlineStr">
        <is>
          <t>WL-03653</t>
        </is>
      </c>
      <c r="D251" t="inlineStr">
        <is>
          <t>Skip with no supporting records</t>
        </is>
      </c>
      <c r="E251" t="inlineStr">
        <is>
          <t>Priority 1</t>
        </is>
      </c>
    </row>
    <row r="252">
      <c r="A252" t="inlineStr">
        <is>
          <t>SKP-2026-0346</t>
        </is>
      </c>
      <c r="B252" t="inlineStr">
        <is>
          <t>2026-02-14</t>
        </is>
      </c>
      <c r="C252" t="inlineStr">
        <is>
          <t>WL-01605</t>
        </is>
      </c>
      <c r="D252" t="inlineStr">
        <is>
          <t>Skip with no supporting records</t>
        </is>
      </c>
      <c r="E252" t="inlineStr">
        <is>
          <t>Priority 1</t>
        </is>
      </c>
    </row>
    <row r="253">
      <c r="A253" t="inlineStr">
        <is>
          <t>SKP-2026-0347</t>
        </is>
      </c>
      <c r="B253" t="inlineStr">
        <is>
          <t>2026-02-22</t>
        </is>
      </c>
      <c r="C253" t="inlineStr">
        <is>
          <t>WL-01550</t>
        </is>
      </c>
      <c r="D253" t="inlineStr">
        <is>
          <t>Skip with no supporting records</t>
        </is>
      </c>
      <c r="E253" t="inlineStr">
        <is>
          <t>Priority 1</t>
        </is>
      </c>
    </row>
    <row r="254">
      <c r="A254" t="inlineStr">
        <is>
          <t>SKP-2026-0348</t>
        </is>
      </c>
      <c r="B254" t="inlineStr">
        <is>
          <t>2026-02-22</t>
        </is>
      </c>
      <c r="C254" t="inlineStr">
        <is>
          <t>WL-02930</t>
        </is>
      </c>
      <c r="D254" t="inlineStr">
        <is>
          <t>Skip with no supporting records</t>
        </is>
      </c>
      <c r="E254" t="inlineStr">
        <is>
          <t>Priority 1</t>
        </is>
      </c>
    </row>
    <row r="255">
      <c r="A255" t="inlineStr">
        <is>
          <t>SKP-2026-0349</t>
        </is>
      </c>
      <c r="B255" t="inlineStr">
        <is>
          <t>2026-02-07</t>
        </is>
      </c>
      <c r="C255" t="inlineStr">
        <is>
          <t>WL-03816</t>
        </is>
      </c>
      <c r="D255" t="inlineStr">
        <is>
          <t>Skip with no supporting records</t>
        </is>
      </c>
      <c r="E255" t="inlineStr">
        <is>
          <t>Priority 1</t>
        </is>
      </c>
    </row>
    <row r="256">
      <c r="A256" t="inlineStr">
        <is>
          <t>SKP-2026-0350</t>
        </is>
      </c>
      <c r="B256" t="inlineStr">
        <is>
          <t>2026-03-12</t>
        </is>
      </c>
      <c r="C256" t="inlineStr">
        <is>
          <t>WL-01038</t>
        </is>
      </c>
      <c r="D256" t="inlineStr">
        <is>
          <t>Skip with no supporting records</t>
        </is>
      </c>
      <c r="E256" t="inlineStr">
        <is>
          <t>Priority 1</t>
        </is>
      </c>
    </row>
    <row r="257">
      <c r="A257" t="inlineStr">
        <is>
          <t>SKP-2026-0351</t>
        </is>
      </c>
      <c r="B257" t="inlineStr">
        <is>
          <t>2026-03-15</t>
        </is>
      </c>
      <c r="C257" t="inlineStr">
        <is>
          <t>WL-02306</t>
        </is>
      </c>
      <c r="D257" t="inlineStr">
        <is>
          <t>Skip with no supporting records</t>
        </is>
      </c>
      <c r="E257" t="inlineStr">
        <is>
          <t>Priority 1</t>
        </is>
      </c>
    </row>
    <row r="258">
      <c r="A258" t="inlineStr">
        <is>
          <t>SKP-2026-0352</t>
        </is>
      </c>
      <c r="B258" t="inlineStr">
        <is>
          <t>2026-03-26</t>
        </is>
      </c>
      <c r="C258" t="inlineStr">
        <is>
          <t>WL-01139</t>
        </is>
      </c>
      <c r="D258" t="inlineStr">
        <is>
          <t>Skip with no supporting records</t>
        </is>
      </c>
      <c r="E258" t="inlineStr">
        <is>
          <t>Priority 1</t>
        </is>
      </c>
    </row>
    <row r="259">
      <c r="A259" t="inlineStr">
        <is>
          <t>SKP-2026-0353</t>
        </is>
      </c>
      <c r="B259" t="inlineStr">
        <is>
          <t>2026-03-13</t>
        </is>
      </c>
      <c r="C259" t="inlineStr">
        <is>
          <t>WL-03279</t>
        </is>
      </c>
      <c r="D259" t="inlineStr">
        <is>
          <t>Skip with no supporting records</t>
        </is>
      </c>
      <c r="E259" t="inlineStr">
        <is>
          <t>Priority 1</t>
        </is>
      </c>
    </row>
    <row r="260">
      <c r="A260" t="inlineStr">
        <is>
          <t>SKP-2026-0354</t>
        </is>
      </c>
      <c r="B260" t="inlineStr">
        <is>
          <t>2026-03-26</t>
        </is>
      </c>
      <c r="C260" t="inlineStr">
        <is>
          <t>WL-03305</t>
        </is>
      </c>
      <c r="D260" t="inlineStr">
        <is>
          <t>Skip with no supporting records</t>
        </is>
      </c>
      <c r="E260" t="inlineStr">
        <is>
          <t>Priority 1</t>
        </is>
      </c>
    </row>
    <row r="261">
      <c r="A261" t="inlineStr">
        <is>
          <t>SKP-2026-0355</t>
        </is>
      </c>
      <c r="B261" t="inlineStr">
        <is>
          <t>2026-03-18</t>
        </is>
      </c>
      <c r="C261" t="inlineStr">
        <is>
          <t>WL-02417</t>
        </is>
      </c>
      <c r="D261" t="inlineStr">
        <is>
          <t>Skip with no supporting records</t>
        </is>
      </c>
      <c r="E261" t="inlineStr">
        <is>
          <t>Priority 1</t>
        </is>
      </c>
    </row>
    <row r="262">
      <c r="A262" t="inlineStr">
        <is>
          <t>SKP-2026-0356</t>
        </is>
      </c>
      <c r="B262" t="inlineStr">
        <is>
          <t>2026-04-01</t>
        </is>
      </c>
      <c r="C262" t="inlineStr">
        <is>
          <t>WL-01084</t>
        </is>
      </c>
      <c r="D262" t="inlineStr">
        <is>
          <t>Skip with no supporting records</t>
        </is>
      </c>
      <c r="E262" t="inlineStr">
        <is>
          <t>Priority 1</t>
        </is>
      </c>
    </row>
    <row r="263">
      <c r="A263" t="inlineStr">
        <is>
          <t>SKP-2026-0357</t>
        </is>
      </c>
      <c r="B263" t="inlineStr">
        <is>
          <t>2026-04-05</t>
        </is>
      </c>
      <c r="C263" t="inlineStr">
        <is>
          <t>WL-03306</t>
        </is>
      </c>
      <c r="D263" t="inlineStr">
        <is>
          <t>Skip with no supporting records</t>
        </is>
      </c>
      <c r="E263" t="inlineStr">
        <is>
          <t>Priority 1</t>
        </is>
      </c>
    </row>
    <row r="264">
      <c r="A264" t="inlineStr">
        <is>
          <t>SKP-2026-0358</t>
        </is>
      </c>
      <c r="B264" t="inlineStr">
        <is>
          <t>2026-04-04</t>
        </is>
      </c>
      <c r="C264" t="inlineStr">
        <is>
          <t>WL-01283</t>
        </is>
      </c>
      <c r="D264" t="inlineStr">
        <is>
          <t>Skip with no supporting records</t>
        </is>
      </c>
      <c r="E264" t="inlineStr">
        <is>
          <t>Priority 1</t>
        </is>
      </c>
    </row>
    <row r="265">
      <c r="A265" t="inlineStr">
        <is>
          <t>SKP-2026-0359</t>
        </is>
      </c>
      <c r="B265" t="inlineStr">
        <is>
          <t>2026-04-01</t>
        </is>
      </c>
      <c r="C265" t="inlineStr">
        <is>
          <t>WL-02766</t>
        </is>
      </c>
      <c r="D265" t="inlineStr">
        <is>
          <t>Skip with no supporting records</t>
        </is>
      </c>
      <c r="E265" t="inlineStr">
        <is>
          <t>Priority 1</t>
        </is>
      </c>
    </row>
    <row r="266">
      <c r="A266" t="inlineStr">
        <is>
          <t>SKP-2026-0360</t>
        </is>
      </c>
      <c r="B266" t="inlineStr">
        <is>
          <t>2026-04-05</t>
        </is>
      </c>
      <c r="C266" t="inlineStr">
        <is>
          <t>WL-03088</t>
        </is>
      </c>
      <c r="D266" t="inlineStr">
        <is>
          <t>Skip with no supporting records</t>
        </is>
      </c>
      <c r="E266" t="inlineStr">
        <is>
          <t>Priority 1</t>
        </is>
      </c>
    </row>
    <row r="267">
      <c r="A267" t="inlineStr">
        <is>
          <t>SKP-2026-0361</t>
        </is>
      </c>
      <c r="B267" t="inlineStr">
        <is>
          <t>2026-04-12</t>
        </is>
      </c>
      <c r="C267" t="inlineStr">
        <is>
          <t>WL-03139</t>
        </is>
      </c>
      <c r="D267" t="inlineStr">
        <is>
          <t>Skip with no supporting records</t>
        </is>
      </c>
      <c r="E267" t="inlineStr">
        <is>
          <t>Priority 1</t>
        </is>
      </c>
    </row>
    <row r="268">
      <c r="A268" t="inlineStr">
        <is>
          <t>SKP-2026-0362</t>
        </is>
      </c>
      <c r="B268" t="inlineStr">
        <is>
          <t>2026-04-13</t>
        </is>
      </c>
      <c r="C268" t="inlineStr">
        <is>
          <t>WL-02120</t>
        </is>
      </c>
      <c r="D268" t="inlineStr">
        <is>
          <t>Skip with no supporting records</t>
        </is>
      </c>
      <c r="E268" t="inlineStr">
        <is>
          <t>Priority 1</t>
        </is>
      </c>
    </row>
    <row r="269">
      <c r="A269" t="inlineStr">
        <is>
          <t>SKP-2026-0363</t>
        </is>
      </c>
      <c r="B269" t="inlineStr">
        <is>
          <t>2026-04-06</t>
        </is>
      </c>
      <c r="C269" t="inlineStr">
        <is>
          <t>WL-02353</t>
        </is>
      </c>
      <c r="D269" t="inlineStr">
        <is>
          <t>Skip with no supporting records</t>
        </is>
      </c>
      <c r="E269" t="inlineStr">
        <is>
          <t>Priority 1</t>
        </is>
      </c>
    </row>
    <row r="270">
      <c r="A270" t="inlineStr">
        <is>
          <t>SKP-2026-0364</t>
        </is>
      </c>
      <c r="B270" t="inlineStr">
        <is>
          <t>2026-04-19</t>
        </is>
      </c>
      <c r="C270" t="inlineStr">
        <is>
          <t>WL-02504</t>
        </is>
      </c>
      <c r="D270" t="inlineStr">
        <is>
          <t>Skip with no supporting records</t>
        </is>
      </c>
      <c r="E270" t="inlineStr">
        <is>
          <t>Priority 1</t>
        </is>
      </c>
    </row>
    <row r="271">
      <c r="A271" t="inlineStr">
        <is>
          <t>SKP-2026-0365</t>
        </is>
      </c>
      <c r="B271" t="inlineStr">
        <is>
          <t>2026-04-17</t>
        </is>
      </c>
      <c r="C271" t="inlineStr">
        <is>
          <t>WL-02706</t>
        </is>
      </c>
      <c r="D271" t="inlineStr">
        <is>
          <t>Skip with no supporting records</t>
        </is>
      </c>
      <c r="E271" t="inlineStr">
        <is>
          <t>Priority 1</t>
        </is>
      </c>
    </row>
    <row r="272">
      <c r="A272" t="inlineStr">
        <is>
          <t>SKP-2026-0366</t>
        </is>
      </c>
      <c r="B272" t="inlineStr">
        <is>
          <t>2026-04-02</t>
        </is>
      </c>
      <c r="C272" t="inlineStr">
        <is>
          <t>WL-01288</t>
        </is>
      </c>
      <c r="D272" t="inlineStr">
        <is>
          <t>Skip with no supporting records</t>
        </is>
      </c>
      <c r="E272" t="inlineStr">
        <is>
          <t>Priority 1</t>
        </is>
      </c>
    </row>
    <row r="273">
      <c r="A273" t="inlineStr">
        <is>
          <t>SKP-2026-0367</t>
        </is>
      </c>
      <c r="B273" t="inlineStr">
        <is>
          <t>2026-04-07</t>
        </is>
      </c>
      <c r="C273" t="inlineStr">
        <is>
          <t>WL-02639</t>
        </is>
      </c>
      <c r="D273" t="inlineStr">
        <is>
          <t>Skip with no supporting records</t>
        </is>
      </c>
      <c r="E273" t="inlineStr">
        <is>
          <t>Priority 1</t>
        </is>
      </c>
    </row>
    <row r="274">
      <c r="A274" t="inlineStr">
        <is>
          <t>SKP-2026-0368</t>
        </is>
      </c>
      <c r="B274" t="inlineStr">
        <is>
          <t>2026-05-09</t>
        </is>
      </c>
      <c r="C274" t="inlineStr">
        <is>
          <t>WL-03754</t>
        </is>
      </c>
      <c r="D274" t="inlineStr">
        <is>
          <t>Skip with no supporting records</t>
        </is>
      </c>
      <c r="E274" t="inlineStr">
        <is>
          <t>Priority 1</t>
        </is>
      </c>
    </row>
    <row r="275">
      <c r="A275" t="inlineStr">
        <is>
          <t>SKP-2026-0369</t>
        </is>
      </c>
      <c r="B275" t="inlineStr">
        <is>
          <t>2026-05-06</t>
        </is>
      </c>
      <c r="C275" t="inlineStr">
        <is>
          <t>WL-01205</t>
        </is>
      </c>
      <c r="D275" t="inlineStr">
        <is>
          <t>Skip with no supporting records</t>
        </is>
      </c>
      <c r="E275" t="inlineStr">
        <is>
          <t>Priority 1</t>
        </is>
      </c>
    </row>
    <row r="276">
      <c r="A276" t="inlineStr">
        <is>
          <t>SKP-2026-0370</t>
        </is>
      </c>
      <c r="B276" t="inlineStr">
        <is>
          <t>2026-05-18</t>
        </is>
      </c>
      <c r="C276" t="inlineStr">
        <is>
          <t>WL-03607</t>
        </is>
      </c>
      <c r="D276" t="inlineStr">
        <is>
          <t>Skip with no supporting records</t>
        </is>
      </c>
      <c r="E276" t="inlineStr">
        <is>
          <t>Priority 1</t>
        </is>
      </c>
    </row>
    <row r="277">
      <c r="A277" t="inlineStr">
        <is>
          <t>SKP-2026-0371</t>
        </is>
      </c>
      <c r="B277" t="inlineStr">
        <is>
          <t>2026-05-08</t>
        </is>
      </c>
      <c r="C277" t="inlineStr">
        <is>
          <t>WL-03896</t>
        </is>
      </c>
      <c r="D277" t="inlineStr">
        <is>
          <t>Skip with no supporting records</t>
        </is>
      </c>
      <c r="E277" t="inlineStr">
        <is>
          <t>Priority 1</t>
        </is>
      </c>
    </row>
    <row r="278">
      <c r="A278" t="inlineStr">
        <is>
          <t>SKP-2026-0372</t>
        </is>
      </c>
      <c r="B278" t="inlineStr">
        <is>
          <t>2026-05-24</t>
        </is>
      </c>
      <c r="C278" t="inlineStr">
        <is>
          <t>WL-03247</t>
        </is>
      </c>
      <c r="D278" t="inlineStr">
        <is>
          <t>Skip with no supporting records</t>
        </is>
      </c>
      <c r="E278" t="inlineStr">
        <is>
          <t>Priority 1</t>
        </is>
      </c>
    </row>
    <row r="279">
      <c r="A279" t="inlineStr">
        <is>
          <t>SKP-2026-0373</t>
        </is>
      </c>
      <c r="B279" t="inlineStr">
        <is>
          <t>2026-05-02</t>
        </is>
      </c>
      <c r="C279" t="inlineStr">
        <is>
          <t>WL-02671</t>
        </is>
      </c>
      <c r="D279" t="inlineStr">
        <is>
          <t>Skip with no supporting records</t>
        </is>
      </c>
      <c r="E279" t="inlineStr">
        <is>
          <t>Priority 1</t>
        </is>
      </c>
    </row>
    <row r="280">
      <c r="A280" t="inlineStr">
        <is>
          <t>SKP-2026-0374</t>
        </is>
      </c>
      <c r="B280" t="inlineStr">
        <is>
          <t>2026-05-11</t>
        </is>
      </c>
      <c r="C280" t="inlineStr">
        <is>
          <t>WL-01404</t>
        </is>
      </c>
      <c r="D280" t="inlineStr">
        <is>
          <t>Skip with no supporting records</t>
        </is>
      </c>
      <c r="E280" t="inlineStr">
        <is>
          <t>Priority 1</t>
        </is>
      </c>
    </row>
    <row r="281">
      <c r="A281" t="inlineStr">
        <is>
          <t>SKP-2026-0375</t>
        </is>
      </c>
      <c r="B281" t="inlineStr">
        <is>
          <t>2026-05-18</t>
        </is>
      </c>
      <c r="C281" t="inlineStr">
        <is>
          <t>WL-01299</t>
        </is>
      </c>
      <c r="D281" t="inlineStr">
        <is>
          <t>Skip with no supporting records</t>
        </is>
      </c>
      <c r="E281" t="inlineStr">
        <is>
          <t>Priority 1</t>
        </is>
      </c>
    </row>
    <row r="282">
      <c r="A282" t="inlineStr">
        <is>
          <t>SKP-2026-0376</t>
        </is>
      </c>
      <c r="B282" t="inlineStr">
        <is>
          <t>2026-05-02</t>
        </is>
      </c>
      <c r="C282" t="inlineStr">
        <is>
          <t>WL-03152</t>
        </is>
      </c>
      <c r="D282" t="inlineStr">
        <is>
          <t>Skip with no supporting records</t>
        </is>
      </c>
      <c r="E282" t="inlineStr">
        <is>
          <t>Priority 1</t>
        </is>
      </c>
    </row>
    <row r="283">
      <c r="A283" t="inlineStr">
        <is>
          <t>SKP-2026-0377</t>
        </is>
      </c>
      <c r="B283" t="inlineStr">
        <is>
          <t>2026-05-14</t>
        </is>
      </c>
      <c r="C283" t="inlineStr">
        <is>
          <t>WL-01255</t>
        </is>
      </c>
      <c r="D283" t="inlineStr">
        <is>
          <t>Skip with no supporting records</t>
        </is>
      </c>
      <c r="E283" t="inlineStr">
        <is>
          <t>Priority 1</t>
        </is>
      </c>
    </row>
    <row r="284">
      <c r="A284" t="inlineStr">
        <is>
          <t>SKP-2026-0378</t>
        </is>
      </c>
      <c r="B284" t="inlineStr">
        <is>
          <t>2026-05-10</t>
        </is>
      </c>
      <c r="C284" t="inlineStr">
        <is>
          <t>WL-01109</t>
        </is>
      </c>
      <c r="D284" t="inlineStr">
        <is>
          <t>Skip with no supporting records</t>
        </is>
      </c>
      <c r="E284" t="inlineStr">
        <is>
          <t>Priority 1</t>
        </is>
      </c>
    </row>
    <row r="285">
      <c r="A285" t="inlineStr">
        <is>
          <t>SKP-2026-0379</t>
        </is>
      </c>
      <c r="B285" t="inlineStr">
        <is>
          <t>2026-06-02</t>
        </is>
      </c>
      <c r="C285" t="inlineStr">
        <is>
          <t>WL-02315</t>
        </is>
      </c>
      <c r="D285" t="inlineStr">
        <is>
          <t>Skip with no supporting records</t>
        </is>
      </c>
      <c r="E285" t="inlineStr">
        <is>
          <t>Priority 1</t>
        </is>
      </c>
    </row>
    <row r="286">
      <c r="A286" t="inlineStr">
        <is>
          <t>SKP-2026-0380</t>
        </is>
      </c>
      <c r="B286" t="inlineStr">
        <is>
          <t>2026-06-21</t>
        </is>
      </c>
      <c r="C286" t="inlineStr">
        <is>
          <t>WL-03078</t>
        </is>
      </c>
      <c r="D286" t="inlineStr">
        <is>
          <t>Skip with no supporting records</t>
        </is>
      </c>
      <c r="E286" t="inlineStr">
        <is>
          <t>Priority 1</t>
        </is>
      </c>
    </row>
    <row r="287">
      <c r="A287" t="inlineStr">
        <is>
          <t>SKP-2026-0381</t>
        </is>
      </c>
      <c r="B287" t="inlineStr">
        <is>
          <t>2026-06-09</t>
        </is>
      </c>
      <c r="C287" t="inlineStr">
        <is>
          <t>WL-01954</t>
        </is>
      </c>
      <c r="D287" t="inlineStr">
        <is>
          <t>Skip with no supporting records</t>
        </is>
      </c>
      <c r="E287" t="inlineStr">
        <is>
          <t>Priority 1</t>
        </is>
      </c>
    </row>
    <row r="288">
      <c r="A288" t="inlineStr">
        <is>
          <t>SKP-2026-0382</t>
        </is>
      </c>
      <c r="B288" t="inlineStr">
        <is>
          <t>2026-06-28</t>
        </is>
      </c>
      <c r="C288" t="inlineStr">
        <is>
          <t>WL-02098</t>
        </is>
      </c>
      <c r="D288" t="inlineStr">
        <is>
          <t>Skip with no supporting records</t>
        </is>
      </c>
      <c r="E288" t="inlineStr">
        <is>
          <t>Priority 1</t>
        </is>
      </c>
    </row>
    <row r="289">
      <c r="A289" t="inlineStr">
        <is>
          <t>SKP-2026-0383</t>
        </is>
      </c>
      <c r="B289" t="inlineStr">
        <is>
          <t>2026-06-20</t>
        </is>
      </c>
      <c r="C289" t="inlineStr">
        <is>
          <t>WL-01256</t>
        </is>
      </c>
      <c r="D289" t="inlineStr">
        <is>
          <t>Skip with no supporting records</t>
        </is>
      </c>
      <c r="E289" t="inlineStr">
        <is>
          <t>Priority 1</t>
        </is>
      </c>
    </row>
    <row r="290">
      <c r="A290" t="inlineStr">
        <is>
          <t>SKP-2026-0384</t>
        </is>
      </c>
      <c r="B290" t="inlineStr">
        <is>
          <t>2026-06-22</t>
        </is>
      </c>
      <c r="C290" t="inlineStr">
        <is>
          <t>WL-01936</t>
        </is>
      </c>
      <c r="D290" t="inlineStr">
        <is>
          <t>Skip with no supporting records</t>
        </is>
      </c>
      <c r="E290" t="inlineStr">
        <is>
          <t>Priority 1</t>
        </is>
      </c>
    </row>
    <row r="291">
      <c r="A291" t="inlineStr">
        <is>
          <t>SKP-2026-0385</t>
        </is>
      </c>
      <c r="B291" t="inlineStr">
        <is>
          <t>2026-06-25</t>
        </is>
      </c>
      <c r="C291" t="inlineStr">
        <is>
          <t>WL-03690</t>
        </is>
      </c>
      <c r="D291" t="inlineStr">
        <is>
          <t>Skip with no supporting records</t>
        </is>
      </c>
      <c r="E291" t="inlineStr">
        <is>
          <t>Priority 1</t>
        </is>
      </c>
    </row>
    <row r="292">
      <c r="A292" t="inlineStr">
        <is>
          <t>SKP-2026-0386</t>
        </is>
      </c>
      <c r="B292" t="inlineStr">
        <is>
          <t>2026-06-03</t>
        </is>
      </c>
      <c r="C292" t="inlineStr">
        <is>
          <t>WL-03787</t>
        </is>
      </c>
      <c r="D292" t="inlineStr">
        <is>
          <t>Skip with no supporting records</t>
        </is>
      </c>
      <c r="E292" t="inlineStr">
        <is>
          <t>Priority 1</t>
        </is>
      </c>
    </row>
    <row r="293">
      <c r="A293" t="inlineStr">
        <is>
          <t>SKP-2026-0387</t>
        </is>
      </c>
      <c r="B293" t="inlineStr">
        <is>
          <t>2026-06-25</t>
        </is>
      </c>
      <c r="C293" t="inlineStr">
        <is>
          <t>WL-01843</t>
        </is>
      </c>
      <c r="D293" t="inlineStr">
        <is>
          <t>Skip with no supporting records</t>
        </is>
      </c>
      <c r="E293" t="inlineStr">
        <is>
          <t>Priority 1</t>
        </is>
      </c>
    </row>
    <row r="294">
      <c r="A294" t="inlineStr">
        <is>
          <t>SKP-2026-0388</t>
        </is>
      </c>
      <c r="B294" t="inlineStr">
        <is>
          <t>2026-06-04</t>
        </is>
      </c>
      <c r="C294" t="inlineStr">
        <is>
          <t>WL-01982</t>
        </is>
      </c>
      <c r="D294" t="inlineStr">
        <is>
          <t>Skip with no supporting records</t>
        </is>
      </c>
      <c r="E294" t="inlineStr">
        <is>
          <t>Priority 1</t>
        </is>
      </c>
    </row>
    <row r="295">
      <c r="A295" t="inlineStr">
        <is>
          <t>SKP-2026-0389</t>
        </is>
      </c>
      <c r="B295" t="inlineStr">
        <is>
          <t>2026-07-17</t>
        </is>
      </c>
      <c r="C295" t="inlineStr">
        <is>
          <t>WL-02013</t>
        </is>
      </c>
      <c r="D295" t="inlineStr">
        <is>
          <t>Skip with no supporting records</t>
        </is>
      </c>
      <c r="E295" t="inlineStr">
        <is>
          <t>Priority 1</t>
        </is>
      </c>
    </row>
    <row r="296">
      <c r="A296" t="inlineStr">
        <is>
          <t>SKP-2026-0390</t>
        </is>
      </c>
      <c r="B296" t="inlineStr">
        <is>
          <t>2026-07-25</t>
        </is>
      </c>
      <c r="C296" t="inlineStr">
        <is>
          <t>WL-03071</t>
        </is>
      </c>
      <c r="D296" t="inlineStr">
        <is>
          <t>Skip with no supporting records</t>
        </is>
      </c>
      <c r="E296" t="inlineStr">
        <is>
          <t>Priority 1</t>
        </is>
      </c>
    </row>
    <row r="297">
      <c r="A297" t="inlineStr">
        <is>
          <t>SKP-2026-0391</t>
        </is>
      </c>
      <c r="B297" t="inlineStr">
        <is>
          <t>2026-07-21</t>
        </is>
      </c>
      <c r="C297" t="inlineStr">
        <is>
          <t>WL-03106</t>
        </is>
      </c>
      <c r="D297" t="inlineStr">
        <is>
          <t>Skip with no supporting records</t>
        </is>
      </c>
      <c r="E297" t="inlineStr">
        <is>
          <t>Priority 1</t>
        </is>
      </c>
    </row>
    <row r="298">
      <c r="A298" t="inlineStr">
        <is>
          <t>SKP-2026-0392</t>
        </is>
      </c>
      <c r="B298" t="inlineStr">
        <is>
          <t>2026-07-02</t>
        </is>
      </c>
      <c r="C298" t="inlineStr">
        <is>
          <t>WL-03260</t>
        </is>
      </c>
      <c r="D298" t="inlineStr">
        <is>
          <t>Skip with no supporting records</t>
        </is>
      </c>
      <c r="E298" t="inlineStr">
        <is>
          <t>Priority 1</t>
        </is>
      </c>
    </row>
    <row r="299">
      <c r="A299" t="inlineStr">
        <is>
          <t>SKP-2026-0393</t>
        </is>
      </c>
      <c r="B299" t="inlineStr">
        <is>
          <t>2026-07-14</t>
        </is>
      </c>
      <c r="C299" t="inlineStr">
        <is>
          <t>WL-02358</t>
        </is>
      </c>
      <c r="D299" t="inlineStr">
        <is>
          <t>Skip with no supporting records</t>
        </is>
      </c>
      <c r="E299" t="inlineStr">
        <is>
          <t>Priority 1</t>
        </is>
      </c>
    </row>
    <row r="300">
      <c r="A300" t="inlineStr">
        <is>
          <t>SKP-2026-0394</t>
        </is>
      </c>
      <c r="B300" t="inlineStr">
        <is>
          <t>2026-07-03</t>
        </is>
      </c>
      <c r="C300" t="inlineStr">
        <is>
          <t>WL-03397</t>
        </is>
      </c>
      <c r="D300" t="inlineStr">
        <is>
          <t>Skip with no supporting records</t>
        </is>
      </c>
      <c r="E300" t="inlineStr">
        <is>
          <t>Priority 1</t>
        </is>
      </c>
    </row>
    <row r="301">
      <c r="A301" t="inlineStr">
        <is>
          <t>SKP-2026-0395</t>
        </is>
      </c>
      <c r="B301" t="inlineStr">
        <is>
          <t>2026-07-07</t>
        </is>
      </c>
      <c r="C301" t="inlineStr">
        <is>
          <t>WL-02900</t>
        </is>
      </c>
      <c r="D301" t="inlineStr">
        <is>
          <t>Skip with no supporting records</t>
        </is>
      </c>
      <c r="E301" t="inlineStr">
        <is>
          <t>Priority 1</t>
        </is>
      </c>
    </row>
    <row r="302">
      <c r="A302" t="inlineStr">
        <is>
          <t>SKP-2026-0396</t>
        </is>
      </c>
      <c r="B302" t="inlineStr">
        <is>
          <t>2026-07-15</t>
        </is>
      </c>
      <c r="C302" t="inlineStr">
        <is>
          <t>WL-02436</t>
        </is>
      </c>
      <c r="D302" t="inlineStr">
        <is>
          <t>Skip with no supporting records</t>
        </is>
      </c>
      <c r="E302" t="inlineStr">
        <is>
          <t>Priority 1</t>
        </is>
      </c>
    </row>
    <row r="303">
      <c r="A303" t="inlineStr">
        <is>
          <t>SKP-2026-0397</t>
        </is>
      </c>
      <c r="B303" t="inlineStr">
        <is>
          <t>2026-07-21</t>
        </is>
      </c>
      <c r="C303" t="inlineStr">
        <is>
          <t>WL-01722</t>
        </is>
      </c>
      <c r="D303" t="inlineStr">
        <is>
          <t>Skip with no supporting records</t>
        </is>
      </c>
      <c r="E303" t="inlineStr">
        <is>
          <t>Priority 1</t>
        </is>
      </c>
    </row>
    <row r="304">
      <c r="A304" t="inlineStr">
        <is>
          <t>SKP-2026-0398</t>
        </is>
      </c>
      <c r="B304" t="inlineStr">
        <is>
          <t>2026-07-05</t>
        </is>
      </c>
      <c r="C304" t="inlineStr">
        <is>
          <t>WL-03059</t>
        </is>
      </c>
      <c r="D304" t="inlineStr">
        <is>
          <t>Skip with no supporting records</t>
        </is>
      </c>
      <c r="E304" t="inlineStr">
        <is>
          <t>Priority 1</t>
        </is>
      </c>
    </row>
    <row r="305">
      <c r="A305" t="inlineStr">
        <is>
          <t>SKP-2024-0220</t>
        </is>
      </c>
      <c r="B305" t="inlineStr">
        <is>
          <t>2024-06-08</t>
        </is>
      </c>
      <c r="C305" t="inlineStr">
        <is>
          <t>WL-03390</t>
        </is>
      </c>
      <c r="D305" t="inlineStr">
        <is>
          <t>Skip with supporting record but review_date &gt; skip_date</t>
        </is>
      </c>
      <c r="E305" t="inlineStr">
        <is>
          <t>Priority 2</t>
        </is>
      </c>
    </row>
    <row r="306">
      <c r="A306" t="inlineStr">
        <is>
          <t>SKP-2023-0408</t>
        </is>
      </c>
      <c r="B306" t="inlineStr">
        <is>
          <t>2023-05-02</t>
        </is>
      </c>
      <c r="C306" t="inlineStr">
        <is>
          <t>WL-02618</t>
        </is>
      </c>
      <c r="D306" t="inlineStr">
        <is>
          <t>Skip with supporting record but review_date &gt; skip_date</t>
        </is>
      </c>
      <c r="E306" t="inlineStr">
        <is>
          <t>Priority 2</t>
        </is>
      </c>
    </row>
    <row r="307">
      <c r="A307" t="inlineStr">
        <is>
          <t>SKP-2024-0409</t>
        </is>
      </c>
      <c r="B307" t="inlineStr">
        <is>
          <t>2024-02-20</t>
        </is>
      </c>
      <c r="C307" t="inlineStr">
        <is>
          <t>WL-03044</t>
        </is>
      </c>
      <c r="D307" t="inlineStr">
        <is>
          <t>Skip with supporting record but review_date &gt; skip_date</t>
        </is>
      </c>
      <c r="E307" t="inlineStr">
        <is>
          <t>Priority 2</t>
        </is>
      </c>
    </row>
    <row r="308">
      <c r="A308" t="inlineStr">
        <is>
          <t>SKP-2024-0410</t>
        </is>
      </c>
      <c r="B308" t="inlineStr">
        <is>
          <t>2024-11-05</t>
        </is>
      </c>
      <c r="C308" t="inlineStr">
        <is>
          <t>WL-03390</t>
        </is>
      </c>
      <c r="D308" t="inlineStr">
        <is>
          <t>Skip with supporting record but review_date &gt; skip_date</t>
        </is>
      </c>
      <c r="E308" t="inlineStr">
        <is>
          <t>Priority 2</t>
        </is>
      </c>
    </row>
    <row r="309">
      <c r="A309" t="inlineStr">
        <is>
          <t>SKP-2024-0411</t>
        </is>
      </c>
      <c r="B309" t="inlineStr">
        <is>
          <t>2024-03-19</t>
        </is>
      </c>
      <c r="C309" t="inlineStr">
        <is>
          <t>WL-02877</t>
        </is>
      </c>
      <c r="D309" t="inlineStr">
        <is>
          <t>Skip with supporting record but review_date &gt; skip_date</t>
        </is>
      </c>
      <c r="E309" t="inlineStr">
        <is>
          <t>Priority 2</t>
        </is>
      </c>
    </row>
    <row r="310">
      <c r="A310" t="inlineStr">
        <is>
          <t>SKP-2025-0412</t>
        </is>
      </c>
      <c r="B310" t="inlineStr">
        <is>
          <t>2025-09-09</t>
        </is>
      </c>
      <c r="C310" t="inlineStr">
        <is>
          <t>WL-03102</t>
        </is>
      </c>
      <c r="D310" t="inlineStr">
        <is>
          <t>Skip with supporting record but review_date &gt; skip_date</t>
        </is>
      </c>
      <c r="E310" t="inlineStr">
        <is>
          <t>Priority 2</t>
        </is>
      </c>
    </row>
    <row r="311">
      <c r="A311" t="inlineStr">
        <is>
          <t>AMD-000288</t>
        </is>
      </c>
      <c r="B311" t="inlineStr">
        <is>
          <t>2022-08-09</t>
        </is>
      </c>
      <c r="C311" t="inlineStr">
        <is>
          <t>WL-03054</t>
        </is>
      </c>
      <c r="D311" t="inlineStr">
        <is>
          <t>Amendment with no certificate and downstream skip events</t>
        </is>
      </c>
      <c r="E311" t="inlineStr">
        <is>
          <t>Priority 1</t>
        </is>
      </c>
    </row>
    <row r="312">
      <c r="A312" t="inlineStr">
        <is>
          <t>AMD-000356</t>
        </is>
      </c>
      <c r="B312" t="inlineStr">
        <is>
          <t>2022-10-05</t>
        </is>
      </c>
      <c r="C312" t="inlineStr">
        <is>
          <t>WL-01333</t>
        </is>
      </c>
      <c r="D312" t="inlineStr">
        <is>
          <t>Amendment with no certificate and downstream skip events</t>
        </is>
      </c>
      <c r="E312" t="inlineStr">
        <is>
          <t>Priority 1</t>
        </is>
      </c>
    </row>
    <row r="313">
      <c r="A313" t="inlineStr">
        <is>
          <t>AMD-000380</t>
        </is>
      </c>
      <c r="B313" t="inlineStr">
        <is>
          <t>2022-10-17</t>
        </is>
      </c>
      <c r="C313" t="inlineStr">
        <is>
          <t>WL-02120</t>
        </is>
      </c>
      <c r="D313" t="inlineStr">
        <is>
          <t>Amendment with no certificate and downstream skip events</t>
        </is>
      </c>
      <c r="E313" t="inlineStr">
        <is>
          <t>Priority 1</t>
        </is>
      </c>
    </row>
    <row r="314">
      <c r="A314" t="inlineStr">
        <is>
          <t>AMD-000435</t>
        </is>
      </c>
      <c r="B314" t="inlineStr">
        <is>
          <t>2022-11-30</t>
        </is>
      </c>
      <c r="C314" t="inlineStr">
        <is>
          <t>WL-03758</t>
        </is>
      </c>
      <c r="D314" t="inlineStr">
        <is>
          <t>Amendment with no certificate and downstream skip events</t>
        </is>
      </c>
      <c r="E314" t="inlineStr">
        <is>
          <t>Priority 1</t>
        </is>
      </c>
    </row>
    <row r="315">
      <c r="A315" t="inlineStr">
        <is>
          <t>AMD-000528</t>
        </is>
      </c>
      <c r="B315" t="inlineStr">
        <is>
          <t>2023-02-03</t>
        </is>
      </c>
      <c r="C315" t="inlineStr">
        <is>
          <t>WL-01746</t>
        </is>
      </c>
      <c r="D315" t="inlineStr">
        <is>
          <t>Amendment with no certificate and downstream skip events</t>
        </is>
      </c>
      <c r="E315" t="inlineStr">
        <is>
          <t>Priority 1</t>
        </is>
      </c>
    </row>
    <row r="316">
      <c r="A316" t="inlineStr">
        <is>
          <t>AMD-000691</t>
        </is>
      </c>
      <c r="B316" t="inlineStr">
        <is>
          <t>2023-06-08</t>
        </is>
      </c>
      <c r="C316" t="inlineStr">
        <is>
          <t>WL-03455</t>
        </is>
      </c>
      <c r="D316" t="inlineStr">
        <is>
          <t>Amendment with no certificate and downstream skip events</t>
        </is>
      </c>
      <c r="E316" t="inlineStr">
        <is>
          <t>Priority 1</t>
        </is>
      </c>
    </row>
    <row r="317">
      <c r="A317" t="inlineStr">
        <is>
          <t>AMD-000705</t>
        </is>
      </c>
      <c r="B317" t="inlineStr">
        <is>
          <t>2023-06-18</t>
        </is>
      </c>
      <c r="C317" t="inlineStr">
        <is>
          <t>WL-02747</t>
        </is>
      </c>
      <c r="D317" t="inlineStr">
        <is>
          <t>Amendment with no certificate and downstream skip events</t>
        </is>
      </c>
      <c r="E317" t="inlineStr">
        <is>
          <t>Priority 1</t>
        </is>
      </c>
    </row>
    <row r="318">
      <c r="A318" t="inlineStr">
        <is>
          <t>AMD-000772</t>
        </is>
      </c>
      <c r="B318" t="inlineStr">
        <is>
          <t>2023-08-10</t>
        </is>
      </c>
      <c r="C318" t="inlineStr">
        <is>
          <t>WL-01594</t>
        </is>
      </c>
      <c r="D318" t="inlineStr">
        <is>
          <t>Amendment with no certificate and downstream skip events</t>
        </is>
      </c>
      <c r="E318" t="inlineStr">
        <is>
          <t>Priority 1</t>
        </is>
      </c>
    </row>
    <row r="319">
      <c r="A319" t="inlineStr">
        <is>
          <t>AMD-000967</t>
        </is>
      </c>
      <c r="B319" t="inlineStr">
        <is>
          <t>2023-12-31</t>
        </is>
      </c>
      <c r="C319" t="inlineStr">
        <is>
          <t>WL-01675</t>
        </is>
      </c>
      <c r="D319" t="inlineStr">
        <is>
          <t>Amendment with no certificate and downstream skip events</t>
        </is>
      </c>
      <c r="E319" t="inlineStr">
        <is>
          <t>Priority 1</t>
        </is>
      </c>
    </row>
    <row r="320">
      <c r="A320" t="inlineStr">
        <is>
          <t>AMD-001109</t>
        </is>
      </c>
      <c r="B320" t="inlineStr">
        <is>
          <t>2024-04-13</t>
        </is>
      </c>
      <c r="C320" t="inlineStr">
        <is>
          <t>WL-02167</t>
        </is>
      </c>
      <c r="D320" t="inlineStr">
        <is>
          <t>Amendment with no certificate and downstream skip events</t>
        </is>
      </c>
      <c r="E320" t="inlineStr">
        <is>
          <t>Priority 1</t>
        </is>
      </c>
    </row>
    <row r="321">
      <c r="A321" t="inlineStr">
        <is>
          <t>AMD-001192</t>
        </is>
      </c>
      <c r="B321" t="inlineStr">
        <is>
          <t>2024-06-21</t>
        </is>
      </c>
      <c r="C321" t="inlineStr">
        <is>
          <t>WL-01001</t>
        </is>
      </c>
      <c r="D321" t="inlineStr">
        <is>
          <t>Amendment with no certificate and downstream skip events</t>
        </is>
      </c>
      <c r="E321" t="inlineStr">
        <is>
          <t>Priority 1</t>
        </is>
      </c>
    </row>
    <row r="322">
      <c r="A322" t="inlineStr">
        <is>
          <t>AMD-001204</t>
        </is>
      </c>
      <c r="B322" t="inlineStr">
        <is>
          <t>2024-07-01</t>
        </is>
      </c>
      <c r="C322" t="inlineStr">
        <is>
          <t>WL-01550</t>
        </is>
      </c>
      <c r="D322" t="inlineStr">
        <is>
          <t>Amendment with no certificate and downstream skip events</t>
        </is>
      </c>
      <c r="E322" t="inlineStr">
        <is>
          <t>Priority 1</t>
        </is>
      </c>
    </row>
    <row r="323">
      <c r="A323" t="inlineStr">
        <is>
          <t>AMD-001327</t>
        </is>
      </c>
      <c r="B323" t="inlineStr">
        <is>
          <t>2024-10-08</t>
        </is>
      </c>
      <c r="C323" t="inlineStr">
        <is>
          <t>WL-02607</t>
        </is>
      </c>
      <c r="D323" t="inlineStr">
        <is>
          <t>Amendment with no certificate and downstream skip events</t>
        </is>
      </c>
      <c r="E323" t="inlineStr">
        <is>
          <t>Priority 1</t>
        </is>
      </c>
    </row>
    <row r="324">
      <c r="A324" t="inlineStr">
        <is>
          <t>AMD-001702</t>
        </is>
      </c>
      <c r="B324" t="inlineStr">
        <is>
          <t>2025-07-01</t>
        </is>
      </c>
      <c r="C324" t="inlineStr">
        <is>
          <t>WL-03102</t>
        </is>
      </c>
      <c r="D324" t="inlineStr">
        <is>
          <t>Amendment with no certificate and downstream skip events</t>
        </is>
      </c>
      <c r="E324" t="inlineStr">
        <is>
          <t>Priority 1</t>
        </is>
      </c>
    </row>
    <row r="325">
      <c r="A325" t="inlineStr">
        <is>
          <t>AMD-001929</t>
        </is>
      </c>
      <c r="B325" t="inlineStr">
        <is>
          <t>2025-12-14</t>
        </is>
      </c>
      <c r="C325" t="inlineStr">
        <is>
          <t>WL-03787</t>
        </is>
      </c>
      <c r="D325" t="inlineStr">
        <is>
          <t>Amendment with no certificate and downstream skip events</t>
        </is>
      </c>
      <c r="E325" t="inlineStr">
        <is>
          <t>Priority 1</t>
        </is>
      </c>
    </row>
    <row r="326">
      <c r="A326" t="inlineStr">
        <is>
          <t>AMD-000285</t>
        </is>
      </c>
      <c r="B326" t="inlineStr">
        <is>
          <t>2022-08-05</t>
        </is>
      </c>
      <c r="C326" t="inlineStr">
        <is>
          <t>WL-02933</t>
        </is>
      </c>
      <c r="D326" t="inlineStr">
        <is>
          <t>Amendment with no certificate and no downstream skip events</t>
        </is>
      </c>
      <c r="E326" t="inlineStr">
        <is>
          <t>Priority 2</t>
        </is>
      </c>
    </row>
    <row r="327">
      <c r="A327" t="inlineStr">
        <is>
          <t>AMD-000289</t>
        </is>
      </c>
      <c r="B327" t="inlineStr">
        <is>
          <t>2022-08-10</t>
        </is>
      </c>
      <c r="C327" t="inlineStr">
        <is>
          <t>WL-03103</t>
        </is>
      </c>
      <c r="D327" t="inlineStr">
        <is>
          <t>Amendment with no certificate and no downstream skip events</t>
        </is>
      </c>
      <c r="E327" t="inlineStr">
        <is>
          <t>Priority 2</t>
        </is>
      </c>
    </row>
    <row r="328">
      <c r="A328" t="inlineStr">
        <is>
          <t>AMD-000316</t>
        </is>
      </c>
      <c r="B328" t="inlineStr">
        <is>
          <t>2022-09-01</t>
        </is>
      </c>
      <c r="C328" t="inlineStr">
        <is>
          <t>WL-03085</t>
        </is>
      </c>
      <c r="D328" t="inlineStr">
        <is>
          <t>Amendment with no certificate and no downstream skip events</t>
        </is>
      </c>
      <c r="E328" t="inlineStr">
        <is>
          <t>Priority 2</t>
        </is>
      </c>
    </row>
    <row r="329">
      <c r="A329" t="inlineStr">
        <is>
          <t>AMD-000322</t>
        </is>
      </c>
      <c r="B329" t="inlineStr">
        <is>
          <t>2022-09-07</t>
        </is>
      </c>
      <c r="C329" t="inlineStr">
        <is>
          <t>WL-01962</t>
        </is>
      </c>
      <c r="D329" t="inlineStr">
        <is>
          <t>Amendment with no certificate and no downstream skip events</t>
        </is>
      </c>
      <c r="E329" t="inlineStr">
        <is>
          <t>Priority 2</t>
        </is>
      </c>
    </row>
    <row r="330">
      <c r="A330" t="inlineStr">
        <is>
          <t>AMD-000338</t>
        </is>
      </c>
      <c r="B330" t="inlineStr">
        <is>
          <t>2022-09-20</t>
        </is>
      </c>
      <c r="C330" t="inlineStr">
        <is>
          <t>WL-03600</t>
        </is>
      </c>
      <c r="D330" t="inlineStr">
        <is>
          <t>Amendment with no certificate and no downstream skip events</t>
        </is>
      </c>
      <c r="E330" t="inlineStr">
        <is>
          <t>Priority 2</t>
        </is>
      </c>
    </row>
    <row r="331">
      <c r="A331" t="inlineStr">
        <is>
          <t>AMD-000339</t>
        </is>
      </c>
      <c r="B331" t="inlineStr">
        <is>
          <t>2022-09-22</t>
        </is>
      </c>
      <c r="C331" t="inlineStr">
        <is>
          <t>WL-02493</t>
        </is>
      </c>
      <c r="D331" t="inlineStr">
        <is>
          <t>Amendment with no certificate and no downstream skip events</t>
        </is>
      </c>
      <c r="E331" t="inlineStr">
        <is>
          <t>Priority 2</t>
        </is>
      </c>
    </row>
    <row r="332">
      <c r="A332" t="inlineStr">
        <is>
          <t>AMD-000343</t>
        </is>
      </c>
      <c r="B332" t="inlineStr">
        <is>
          <t>2022-09-23</t>
        </is>
      </c>
      <c r="C332" t="inlineStr">
        <is>
          <t>WL-03241</t>
        </is>
      </c>
      <c r="D332" t="inlineStr">
        <is>
          <t>Amendment with no certificate and no downstream skip events</t>
        </is>
      </c>
      <c r="E332" t="inlineStr">
        <is>
          <t>Priority 2</t>
        </is>
      </c>
    </row>
    <row r="333">
      <c r="A333" t="inlineStr">
        <is>
          <t>AMD-000368</t>
        </is>
      </c>
      <c r="B333" t="inlineStr">
        <is>
          <t>2022-10-12</t>
        </is>
      </c>
      <c r="C333" t="inlineStr">
        <is>
          <t>WL-01115</t>
        </is>
      </c>
      <c r="D333" t="inlineStr">
        <is>
          <t>Amendment with no certificate and no downstream skip events</t>
        </is>
      </c>
      <c r="E333" t="inlineStr">
        <is>
          <t>Priority 2</t>
        </is>
      </c>
    </row>
    <row r="334">
      <c r="A334" t="inlineStr">
        <is>
          <t>AMD-000403</t>
        </is>
      </c>
      <c r="B334" t="inlineStr">
        <is>
          <t>2022-11-08</t>
        </is>
      </c>
      <c r="C334" t="inlineStr">
        <is>
          <t>WL-01088</t>
        </is>
      </c>
      <c r="D334" t="inlineStr">
        <is>
          <t>Amendment with no certificate and no downstream skip events</t>
        </is>
      </c>
      <c r="E334" t="inlineStr">
        <is>
          <t>Priority 2</t>
        </is>
      </c>
    </row>
    <row r="335">
      <c r="A335" t="inlineStr">
        <is>
          <t>AMD-000413</t>
        </is>
      </c>
      <c r="B335" t="inlineStr">
        <is>
          <t>2022-11-13</t>
        </is>
      </c>
      <c r="C335" t="inlineStr">
        <is>
          <t>WL-02512</t>
        </is>
      </c>
      <c r="D335" t="inlineStr">
        <is>
          <t>Amendment with no certificate and no downstream skip events</t>
        </is>
      </c>
      <c r="E335" t="inlineStr">
        <is>
          <t>Priority 2</t>
        </is>
      </c>
    </row>
    <row r="336">
      <c r="A336" t="inlineStr">
        <is>
          <t>AMD-000415</t>
        </is>
      </c>
      <c r="B336" t="inlineStr">
        <is>
          <t>2022-11-16</t>
        </is>
      </c>
      <c r="C336" t="inlineStr">
        <is>
          <t>WL-02107</t>
        </is>
      </c>
      <c r="D336" t="inlineStr">
        <is>
          <t>Amendment with no certificate and no downstream skip events</t>
        </is>
      </c>
      <c r="E336" t="inlineStr">
        <is>
          <t>Priority 2</t>
        </is>
      </c>
    </row>
    <row r="337">
      <c r="A337" t="inlineStr">
        <is>
          <t>AMD-000416</t>
        </is>
      </c>
      <c r="B337" t="inlineStr">
        <is>
          <t>2022-11-16</t>
        </is>
      </c>
      <c r="C337" t="inlineStr">
        <is>
          <t>WL-03636</t>
        </is>
      </c>
      <c r="D337" t="inlineStr">
        <is>
          <t>Amendment with no certificate and no downstream skip events</t>
        </is>
      </c>
      <c r="E337" t="inlineStr">
        <is>
          <t>Priority 2</t>
        </is>
      </c>
    </row>
    <row r="338">
      <c r="A338" t="inlineStr">
        <is>
          <t>AMD-000425</t>
        </is>
      </c>
      <c r="B338" t="inlineStr">
        <is>
          <t>2022-11-24</t>
        </is>
      </c>
      <c r="C338" t="inlineStr">
        <is>
          <t>WL-03350</t>
        </is>
      </c>
      <c r="D338" t="inlineStr">
        <is>
          <t>Amendment with no certificate and no downstream skip events</t>
        </is>
      </c>
      <c r="E338" t="inlineStr">
        <is>
          <t>Priority 2</t>
        </is>
      </c>
    </row>
    <row r="339">
      <c r="A339" t="inlineStr">
        <is>
          <t>AMD-000431</t>
        </is>
      </c>
      <c r="B339" t="inlineStr">
        <is>
          <t>2022-11-28</t>
        </is>
      </c>
      <c r="C339" t="inlineStr">
        <is>
          <t>WL-03727</t>
        </is>
      </c>
      <c r="D339" t="inlineStr">
        <is>
          <t>Amendment with no certificate and no downstream skip events</t>
        </is>
      </c>
      <c r="E339" t="inlineStr">
        <is>
          <t>Priority 2</t>
        </is>
      </c>
    </row>
    <row r="340">
      <c r="A340" t="inlineStr">
        <is>
          <t>AMD-000436</t>
        </is>
      </c>
      <c r="B340" t="inlineStr">
        <is>
          <t>2022-12-02</t>
        </is>
      </c>
      <c r="C340" t="inlineStr">
        <is>
          <t>WL-02036</t>
        </is>
      </c>
      <c r="D340" t="inlineStr">
        <is>
          <t>Amendment with no certificate and no downstream skip events</t>
        </is>
      </c>
      <c r="E340" t="inlineStr">
        <is>
          <t>Priority 2</t>
        </is>
      </c>
    </row>
    <row r="341">
      <c r="A341" t="inlineStr">
        <is>
          <t>AMD-000461</t>
        </is>
      </c>
      <c r="B341" t="inlineStr">
        <is>
          <t>2022-12-20</t>
        </is>
      </c>
      <c r="C341" t="inlineStr">
        <is>
          <t>WL-03633</t>
        </is>
      </c>
      <c r="D341" t="inlineStr">
        <is>
          <t>Amendment with no certificate and no downstream skip events</t>
        </is>
      </c>
      <c r="E341" t="inlineStr">
        <is>
          <t>Priority 2</t>
        </is>
      </c>
    </row>
    <row r="342">
      <c r="A342" t="inlineStr">
        <is>
          <t>AMD-000462</t>
        </is>
      </c>
      <c r="B342" t="inlineStr">
        <is>
          <t>2022-12-21</t>
        </is>
      </c>
      <c r="C342" t="inlineStr">
        <is>
          <t>WL-02309</t>
        </is>
      </c>
      <c r="D342" t="inlineStr">
        <is>
          <t>Amendment with no certificate and no downstream skip events</t>
        </is>
      </c>
      <c r="E342" t="inlineStr">
        <is>
          <t>Priority 2</t>
        </is>
      </c>
    </row>
    <row r="343">
      <c r="A343" t="inlineStr">
        <is>
          <t>AMD-000471</t>
        </is>
      </c>
      <c r="B343" t="inlineStr">
        <is>
          <t>2022-12-26</t>
        </is>
      </c>
      <c r="C343" t="inlineStr">
        <is>
          <t>WL-02957</t>
        </is>
      </c>
      <c r="D343" t="inlineStr">
        <is>
          <t>Amendment with no certificate and no downstream skip events</t>
        </is>
      </c>
      <c r="E343" t="inlineStr">
        <is>
          <t>Priority 2</t>
        </is>
      </c>
    </row>
    <row r="344">
      <c r="A344" t="inlineStr">
        <is>
          <t>AMD-000478</t>
        </is>
      </c>
      <c r="B344" t="inlineStr">
        <is>
          <t>2022-12-30</t>
        </is>
      </c>
      <c r="C344" t="inlineStr">
        <is>
          <t>WL-03274</t>
        </is>
      </c>
      <c r="D344" t="inlineStr">
        <is>
          <t>Amendment with no certificate and no downstream skip events</t>
        </is>
      </c>
      <c r="E344" t="inlineStr">
        <is>
          <t>Priority 2</t>
        </is>
      </c>
    </row>
    <row r="345">
      <c r="A345" t="inlineStr">
        <is>
          <t>AMD-000482</t>
        </is>
      </c>
      <c r="B345" t="inlineStr">
        <is>
          <t>2023-01-01</t>
        </is>
      </c>
      <c r="C345" t="inlineStr">
        <is>
          <t>WL-03883</t>
        </is>
      </c>
      <c r="D345" t="inlineStr">
        <is>
          <t>Amendment with no certificate and no downstream skip events</t>
        </is>
      </c>
      <c r="E345" t="inlineStr">
        <is>
          <t>Priority 2</t>
        </is>
      </c>
    </row>
    <row r="346">
      <c r="A346" t="inlineStr">
        <is>
          <t>AMD-000506</t>
        </is>
      </c>
      <c r="B346" t="inlineStr">
        <is>
          <t>2023-01-22</t>
        </is>
      </c>
      <c r="C346" t="inlineStr">
        <is>
          <t>WL-02724</t>
        </is>
      </c>
      <c r="D346" t="inlineStr">
        <is>
          <t>Amendment with no certificate and no downstream skip events</t>
        </is>
      </c>
      <c r="E346" t="inlineStr">
        <is>
          <t>Priority 2</t>
        </is>
      </c>
    </row>
    <row r="347">
      <c r="A347" t="inlineStr">
        <is>
          <t>AMD-000526</t>
        </is>
      </c>
      <c r="B347" t="inlineStr">
        <is>
          <t>2023-02-03</t>
        </is>
      </c>
      <c r="C347" t="inlineStr">
        <is>
          <t>WL-03429</t>
        </is>
      </c>
      <c r="D347" t="inlineStr">
        <is>
          <t>Amendment with no certificate and no downstream skip events</t>
        </is>
      </c>
      <c r="E347" t="inlineStr">
        <is>
          <t>Priority 2</t>
        </is>
      </c>
    </row>
    <row r="348">
      <c r="A348" t="inlineStr">
        <is>
          <t>AMD-000580</t>
        </is>
      </c>
      <c r="B348" t="inlineStr">
        <is>
          <t>2023-03-11</t>
        </is>
      </c>
      <c r="C348" t="inlineStr">
        <is>
          <t>WL-03115</t>
        </is>
      </c>
      <c r="D348" t="inlineStr">
        <is>
          <t>Amendment with no certificate and no downstream skip events</t>
        </is>
      </c>
      <c r="E348" t="inlineStr">
        <is>
          <t>Priority 2</t>
        </is>
      </c>
    </row>
    <row r="349">
      <c r="A349" t="inlineStr">
        <is>
          <t>AMD-000584</t>
        </is>
      </c>
      <c r="B349" t="inlineStr">
        <is>
          <t>2023-03-14</t>
        </is>
      </c>
      <c r="C349" t="inlineStr">
        <is>
          <t>WL-03617</t>
        </is>
      </c>
      <c r="D349" t="inlineStr">
        <is>
          <t>Amendment with no certificate and no downstream skip events</t>
        </is>
      </c>
      <c r="E349" t="inlineStr">
        <is>
          <t>Priority 2</t>
        </is>
      </c>
    </row>
    <row r="350">
      <c r="A350" t="inlineStr">
        <is>
          <t>AMD-000601</t>
        </is>
      </c>
      <c r="B350" t="inlineStr">
        <is>
          <t>2023-03-25</t>
        </is>
      </c>
      <c r="C350" t="inlineStr">
        <is>
          <t>WL-01670</t>
        </is>
      </c>
      <c r="D350" t="inlineStr">
        <is>
          <t>Amendment with no certificate and no downstream skip events</t>
        </is>
      </c>
      <c r="E350" t="inlineStr">
        <is>
          <t>Priority 2</t>
        </is>
      </c>
    </row>
    <row r="351">
      <c r="A351" t="inlineStr">
        <is>
          <t>AMD-000610</t>
        </is>
      </c>
      <c r="B351" t="inlineStr">
        <is>
          <t>2023-04-07</t>
        </is>
      </c>
      <c r="C351" t="inlineStr">
        <is>
          <t>WL-02695</t>
        </is>
      </c>
      <c r="D351" t="inlineStr">
        <is>
          <t>Amendment with no certificate and no downstream skip events</t>
        </is>
      </c>
      <c r="E351" t="inlineStr">
        <is>
          <t>Priority 2</t>
        </is>
      </c>
    </row>
    <row r="352">
      <c r="A352" t="inlineStr">
        <is>
          <t>AMD-000627</t>
        </is>
      </c>
      <c r="B352" t="inlineStr">
        <is>
          <t>2023-04-22</t>
        </is>
      </c>
      <c r="C352" t="inlineStr">
        <is>
          <t>WL-01438</t>
        </is>
      </c>
      <c r="D352" t="inlineStr">
        <is>
          <t>Amendment with no certificate and no downstream skip events</t>
        </is>
      </c>
      <c r="E352" t="inlineStr">
        <is>
          <t>Priority 2</t>
        </is>
      </c>
    </row>
    <row r="353">
      <c r="A353" t="inlineStr">
        <is>
          <t>AMD-000646</t>
        </is>
      </c>
      <c r="B353" t="inlineStr">
        <is>
          <t>2023-05-04</t>
        </is>
      </c>
      <c r="C353" t="inlineStr">
        <is>
          <t>WL-02496</t>
        </is>
      </c>
      <c r="D353" t="inlineStr">
        <is>
          <t>Amendment with no certificate and no downstream skip events</t>
        </is>
      </c>
      <c r="E353" t="inlineStr">
        <is>
          <t>Priority 2</t>
        </is>
      </c>
    </row>
    <row r="354">
      <c r="A354" t="inlineStr">
        <is>
          <t>AMD-000661</t>
        </is>
      </c>
      <c r="B354" t="inlineStr">
        <is>
          <t>2023-05-21</t>
        </is>
      </c>
      <c r="C354" t="inlineStr">
        <is>
          <t>WL-02263</t>
        </is>
      </c>
      <c r="D354" t="inlineStr">
        <is>
          <t>Amendment with no certificate and no downstream skip events</t>
        </is>
      </c>
      <c r="E354" t="inlineStr">
        <is>
          <t>Priority 2</t>
        </is>
      </c>
    </row>
    <row r="355">
      <c r="A355" t="inlineStr">
        <is>
          <t>AMD-000662</t>
        </is>
      </c>
      <c r="B355" t="inlineStr">
        <is>
          <t>2023-05-21</t>
        </is>
      </c>
      <c r="C355" t="inlineStr">
        <is>
          <t>WL-02278</t>
        </is>
      </c>
      <c r="D355" t="inlineStr">
        <is>
          <t>Amendment with no certificate and no downstream skip events</t>
        </is>
      </c>
      <c r="E355" t="inlineStr">
        <is>
          <t>Priority 2</t>
        </is>
      </c>
    </row>
    <row r="356">
      <c r="A356" t="inlineStr">
        <is>
          <t>AMD-000682</t>
        </is>
      </c>
      <c r="B356" t="inlineStr">
        <is>
          <t>2023-06-04</t>
        </is>
      </c>
      <c r="C356" t="inlineStr">
        <is>
          <t>WL-02641</t>
        </is>
      </c>
      <c r="D356" t="inlineStr">
        <is>
          <t>Amendment with no certificate and no downstream skip events</t>
        </is>
      </c>
      <c r="E356" t="inlineStr">
        <is>
          <t>Priority 2</t>
        </is>
      </c>
    </row>
    <row r="357">
      <c r="A357" t="inlineStr">
        <is>
          <t>AMD-000694</t>
        </is>
      </c>
      <c r="B357" t="inlineStr">
        <is>
          <t>2023-06-09</t>
        </is>
      </c>
      <c r="C357" t="inlineStr">
        <is>
          <t>WL-03698</t>
        </is>
      </c>
      <c r="D357" t="inlineStr">
        <is>
          <t>Amendment with no certificate and no downstream skip events</t>
        </is>
      </c>
      <c r="E357" t="inlineStr">
        <is>
          <t>Priority 2</t>
        </is>
      </c>
    </row>
    <row r="358">
      <c r="A358" t="inlineStr">
        <is>
          <t>AMD-000709</t>
        </is>
      </c>
      <c r="B358" t="inlineStr">
        <is>
          <t>2023-06-20</t>
        </is>
      </c>
      <c r="C358" t="inlineStr">
        <is>
          <t>WL-01302</t>
        </is>
      </c>
      <c r="D358" t="inlineStr">
        <is>
          <t>Amendment with no certificate and no downstream skip events</t>
        </is>
      </c>
      <c r="E358" t="inlineStr">
        <is>
          <t>Priority 2</t>
        </is>
      </c>
    </row>
    <row r="359">
      <c r="A359" t="inlineStr">
        <is>
          <t>AMD-000712</t>
        </is>
      </c>
      <c r="B359" t="inlineStr">
        <is>
          <t>2023-06-23</t>
        </is>
      </c>
      <c r="C359" t="inlineStr">
        <is>
          <t>WL-01762</t>
        </is>
      </c>
      <c r="D359" t="inlineStr">
        <is>
          <t>Amendment with no certificate and no downstream skip events</t>
        </is>
      </c>
      <c r="E359" t="inlineStr">
        <is>
          <t>Priority 2</t>
        </is>
      </c>
    </row>
    <row r="360">
      <c r="A360" t="inlineStr">
        <is>
          <t>AMD-000714</t>
        </is>
      </c>
      <c r="B360" t="inlineStr">
        <is>
          <t>2023-06-24</t>
        </is>
      </c>
      <c r="C360" t="inlineStr">
        <is>
          <t>WL-01959</t>
        </is>
      </c>
      <c r="D360" t="inlineStr">
        <is>
          <t>Amendment with no certificate and no downstream skip events</t>
        </is>
      </c>
      <c r="E360" t="inlineStr">
        <is>
          <t>Priority 2</t>
        </is>
      </c>
    </row>
    <row r="361">
      <c r="A361" t="inlineStr">
        <is>
          <t>AMD-000750</t>
        </is>
      </c>
      <c r="B361" t="inlineStr">
        <is>
          <t>2023-07-25</t>
        </is>
      </c>
      <c r="C361" t="inlineStr">
        <is>
          <t>WL-03333</t>
        </is>
      </c>
      <c r="D361" t="inlineStr">
        <is>
          <t>Amendment with no certificate and no downstream skip events</t>
        </is>
      </c>
      <c r="E361" t="inlineStr">
        <is>
          <t>Priority 2</t>
        </is>
      </c>
    </row>
    <row r="362">
      <c r="A362" t="inlineStr">
        <is>
          <t>AMD-000760</t>
        </is>
      </c>
      <c r="B362" t="inlineStr">
        <is>
          <t>2023-08-03</t>
        </is>
      </c>
      <c r="C362" t="inlineStr">
        <is>
          <t>WL-03183</t>
        </is>
      </c>
      <c r="D362" t="inlineStr">
        <is>
          <t>Amendment with no certificate and no downstream skip events</t>
        </is>
      </c>
      <c r="E362" t="inlineStr">
        <is>
          <t>Priority 2</t>
        </is>
      </c>
    </row>
    <row r="363">
      <c r="A363" t="inlineStr">
        <is>
          <t>AMD-000763</t>
        </is>
      </c>
      <c r="B363" t="inlineStr">
        <is>
          <t>2023-08-04</t>
        </is>
      </c>
      <c r="C363" t="inlineStr">
        <is>
          <t>WL-02205</t>
        </is>
      </c>
      <c r="D363" t="inlineStr">
        <is>
          <t>Amendment with no certificate and no downstream skip events</t>
        </is>
      </c>
      <c r="E363" t="inlineStr">
        <is>
          <t>Priority 2</t>
        </is>
      </c>
    </row>
    <row r="364">
      <c r="A364" t="inlineStr">
        <is>
          <t>AMD-000777</t>
        </is>
      </c>
      <c r="B364" t="inlineStr">
        <is>
          <t>2023-08-14</t>
        </is>
      </c>
      <c r="C364" t="inlineStr">
        <is>
          <t>WL-02881</t>
        </is>
      </c>
      <c r="D364" t="inlineStr">
        <is>
          <t>Amendment with no certificate and no downstream skip events</t>
        </is>
      </c>
      <c r="E364" t="inlineStr">
        <is>
          <t>Priority 2</t>
        </is>
      </c>
    </row>
    <row r="365">
      <c r="A365" t="inlineStr">
        <is>
          <t>AMD-000779</t>
        </is>
      </c>
      <c r="B365" t="inlineStr">
        <is>
          <t>2023-08-16</t>
        </is>
      </c>
      <c r="C365" t="inlineStr">
        <is>
          <t>WL-01864</t>
        </is>
      </c>
      <c r="D365" t="inlineStr">
        <is>
          <t>Amendment with no certificate and no downstream skip events</t>
        </is>
      </c>
      <c r="E365" t="inlineStr">
        <is>
          <t>Priority 2</t>
        </is>
      </c>
    </row>
    <row r="366">
      <c r="A366" t="inlineStr">
        <is>
          <t>AMD-000782</t>
        </is>
      </c>
      <c r="B366" t="inlineStr">
        <is>
          <t>2023-08-18</t>
        </is>
      </c>
      <c r="C366" t="inlineStr">
        <is>
          <t>WL-03250</t>
        </is>
      </c>
      <c r="D366" t="inlineStr">
        <is>
          <t>Amendment with no certificate and no downstream skip events</t>
        </is>
      </c>
      <c r="E366" t="inlineStr">
        <is>
          <t>Priority 2</t>
        </is>
      </c>
    </row>
    <row r="367">
      <c r="A367" t="inlineStr">
        <is>
          <t>AMD-000785</t>
        </is>
      </c>
      <c r="B367" t="inlineStr">
        <is>
          <t>2023-08-20</t>
        </is>
      </c>
      <c r="C367" t="inlineStr">
        <is>
          <t>WL-03293</t>
        </is>
      </c>
      <c r="D367" t="inlineStr">
        <is>
          <t>Amendment with no certificate and no downstream skip events</t>
        </is>
      </c>
      <c r="E367" t="inlineStr">
        <is>
          <t>Priority 2</t>
        </is>
      </c>
    </row>
    <row r="368">
      <c r="A368" t="inlineStr">
        <is>
          <t>AMD-000803</t>
        </is>
      </c>
      <c r="B368" t="inlineStr">
        <is>
          <t>2023-08-31</t>
        </is>
      </c>
      <c r="C368" t="inlineStr">
        <is>
          <t>WL-03666</t>
        </is>
      </c>
      <c r="D368" t="inlineStr">
        <is>
          <t>Amendment with no certificate and no downstream skip events</t>
        </is>
      </c>
      <c r="E368" t="inlineStr">
        <is>
          <t>Priority 2</t>
        </is>
      </c>
    </row>
    <row r="369">
      <c r="A369" t="inlineStr">
        <is>
          <t>AMD-000808</t>
        </is>
      </c>
      <c r="B369" t="inlineStr">
        <is>
          <t>2023-09-03</t>
        </is>
      </c>
      <c r="C369" t="inlineStr">
        <is>
          <t>WL-03319</t>
        </is>
      </c>
      <c r="D369" t="inlineStr">
        <is>
          <t>Amendment with no certificate and no downstream skip events</t>
        </is>
      </c>
      <c r="E369" t="inlineStr">
        <is>
          <t>Priority 2</t>
        </is>
      </c>
    </row>
    <row r="370">
      <c r="A370" t="inlineStr">
        <is>
          <t>AMD-000848</t>
        </is>
      </c>
      <c r="B370" t="inlineStr">
        <is>
          <t>2023-10-14</t>
        </is>
      </c>
      <c r="C370" t="inlineStr">
        <is>
          <t>WL-02342</t>
        </is>
      </c>
      <c r="D370" t="inlineStr">
        <is>
          <t>Amendment with no certificate and no downstream skip events</t>
        </is>
      </c>
      <c r="E370" t="inlineStr">
        <is>
          <t>Priority 2</t>
        </is>
      </c>
    </row>
    <row r="371">
      <c r="A371" t="inlineStr">
        <is>
          <t>AMD-000876</t>
        </is>
      </c>
      <c r="B371" t="inlineStr">
        <is>
          <t>2023-11-07</t>
        </is>
      </c>
      <c r="C371" t="inlineStr">
        <is>
          <t>WL-03908</t>
        </is>
      </c>
      <c r="D371" t="inlineStr">
        <is>
          <t>Amendment with no certificate and no downstream skip events</t>
        </is>
      </c>
      <c r="E371" t="inlineStr">
        <is>
          <t>Priority 2</t>
        </is>
      </c>
    </row>
    <row r="372">
      <c r="A372" t="inlineStr">
        <is>
          <t>AMD-000887</t>
        </is>
      </c>
      <c r="B372" t="inlineStr">
        <is>
          <t>2023-11-14</t>
        </is>
      </c>
      <c r="C372" t="inlineStr">
        <is>
          <t>WL-02969</t>
        </is>
      </c>
      <c r="D372" t="inlineStr">
        <is>
          <t>Amendment with no certificate and no downstream skip events</t>
        </is>
      </c>
      <c r="E372" t="inlineStr">
        <is>
          <t>Priority 2</t>
        </is>
      </c>
    </row>
    <row r="373">
      <c r="A373" t="inlineStr">
        <is>
          <t>AMD-000890</t>
        </is>
      </c>
      <c r="B373" t="inlineStr">
        <is>
          <t>2023-11-16</t>
        </is>
      </c>
      <c r="C373" t="inlineStr">
        <is>
          <t>WL-02279</t>
        </is>
      </c>
      <c r="D373" t="inlineStr">
        <is>
          <t>Amendment with no certificate and no downstream skip events</t>
        </is>
      </c>
      <c r="E373" t="inlineStr">
        <is>
          <t>Priority 2</t>
        </is>
      </c>
    </row>
    <row r="374">
      <c r="A374" t="inlineStr">
        <is>
          <t>AMD-000893</t>
        </is>
      </c>
      <c r="B374" t="inlineStr">
        <is>
          <t>2023-11-16</t>
        </is>
      </c>
      <c r="C374" t="inlineStr">
        <is>
          <t>WL-01874</t>
        </is>
      </c>
      <c r="D374" t="inlineStr">
        <is>
          <t>Amendment with no certificate and no downstream skip events</t>
        </is>
      </c>
      <c r="E374" t="inlineStr">
        <is>
          <t>Priority 2</t>
        </is>
      </c>
    </row>
    <row r="375">
      <c r="A375" t="inlineStr">
        <is>
          <t>AMD-000913</t>
        </is>
      </c>
      <c r="B375" t="inlineStr">
        <is>
          <t>2023-11-25</t>
        </is>
      </c>
      <c r="C375" t="inlineStr">
        <is>
          <t>WL-03638</t>
        </is>
      </c>
      <c r="D375" t="inlineStr">
        <is>
          <t>Amendment with no certificate and no downstream skip events</t>
        </is>
      </c>
      <c r="E375" t="inlineStr">
        <is>
          <t>Priority 2</t>
        </is>
      </c>
    </row>
    <row r="376">
      <c r="A376" t="inlineStr">
        <is>
          <t>AMD-000930</t>
        </is>
      </c>
      <c r="B376" t="inlineStr">
        <is>
          <t>2023-12-05</t>
        </is>
      </c>
      <c r="C376" t="inlineStr">
        <is>
          <t>WL-02495</t>
        </is>
      </c>
      <c r="D376" t="inlineStr">
        <is>
          <t>Amendment with no certificate and no downstream skip events</t>
        </is>
      </c>
      <c r="E376" t="inlineStr">
        <is>
          <t>Priority 2</t>
        </is>
      </c>
    </row>
    <row r="377">
      <c r="A377" t="inlineStr">
        <is>
          <t>AMD-000935</t>
        </is>
      </c>
      <c r="B377" t="inlineStr">
        <is>
          <t>2023-12-09</t>
        </is>
      </c>
      <c r="C377" t="inlineStr">
        <is>
          <t>WL-01361</t>
        </is>
      </c>
      <c r="D377" t="inlineStr">
        <is>
          <t>Amendment with no certificate and no downstream skip events</t>
        </is>
      </c>
      <c r="E377" t="inlineStr">
        <is>
          <t>Priority 2</t>
        </is>
      </c>
    </row>
    <row r="378">
      <c r="A378" t="inlineStr">
        <is>
          <t>AMD-000971</t>
        </is>
      </c>
      <c r="B378" t="inlineStr">
        <is>
          <t>2024-01-03</t>
        </is>
      </c>
      <c r="C378" t="inlineStr">
        <is>
          <t>WL-01323</t>
        </is>
      </c>
      <c r="D378" t="inlineStr">
        <is>
          <t>Amendment with no certificate and no downstream skip events</t>
        </is>
      </c>
      <c r="E378" t="inlineStr">
        <is>
          <t>Priority 2</t>
        </is>
      </c>
    </row>
    <row r="379">
      <c r="A379" t="inlineStr">
        <is>
          <t>AMD-000977</t>
        </is>
      </c>
      <c r="B379" t="inlineStr">
        <is>
          <t>2024-01-07</t>
        </is>
      </c>
      <c r="C379" t="inlineStr">
        <is>
          <t>WL-01619</t>
        </is>
      </c>
      <c r="D379" t="inlineStr">
        <is>
          <t>Amendment with no certificate and no downstream skip events</t>
        </is>
      </c>
      <c r="E379" t="inlineStr">
        <is>
          <t>Priority 2</t>
        </is>
      </c>
    </row>
    <row r="380">
      <c r="A380" t="inlineStr">
        <is>
          <t>AMD-000982</t>
        </is>
      </c>
      <c r="B380" t="inlineStr">
        <is>
          <t>2024-01-11</t>
        </is>
      </c>
      <c r="C380" t="inlineStr">
        <is>
          <t>WL-01621</t>
        </is>
      </c>
      <c r="D380" t="inlineStr">
        <is>
          <t>Amendment with no certificate and no downstream skip events</t>
        </is>
      </c>
      <c r="E380" t="inlineStr">
        <is>
          <t>Priority 2</t>
        </is>
      </c>
    </row>
    <row r="381">
      <c r="A381" t="inlineStr">
        <is>
          <t>AMD-000999</t>
        </is>
      </c>
      <c r="B381" t="inlineStr">
        <is>
          <t>2024-01-23</t>
        </is>
      </c>
      <c r="C381" t="inlineStr">
        <is>
          <t>WL-01937</t>
        </is>
      </c>
      <c r="D381" t="inlineStr">
        <is>
          <t>Amendment with no certificate and no downstream skip events</t>
        </is>
      </c>
      <c r="E381" t="inlineStr">
        <is>
          <t>Priority 2</t>
        </is>
      </c>
    </row>
    <row r="382">
      <c r="A382" t="inlineStr">
        <is>
          <t>AMD-001016</t>
        </is>
      </c>
      <c r="B382" t="inlineStr">
        <is>
          <t>2024-02-07</t>
        </is>
      </c>
      <c r="C382" t="inlineStr">
        <is>
          <t>WL-01018</t>
        </is>
      </c>
      <c r="D382" t="inlineStr">
        <is>
          <t>Amendment with no certificate and no downstream skip events</t>
        </is>
      </c>
      <c r="E382" t="inlineStr">
        <is>
          <t>Priority 2</t>
        </is>
      </c>
    </row>
    <row r="383">
      <c r="A383" t="inlineStr">
        <is>
          <t>AMD-001027</t>
        </is>
      </c>
      <c r="B383" t="inlineStr">
        <is>
          <t>2024-02-18</t>
        </is>
      </c>
      <c r="C383" t="inlineStr">
        <is>
          <t>WL-01929</t>
        </is>
      </c>
      <c r="D383" t="inlineStr">
        <is>
          <t>Amendment with no certificate and no downstream skip events</t>
        </is>
      </c>
      <c r="E383" t="inlineStr">
        <is>
          <t>Priority 2</t>
        </is>
      </c>
    </row>
    <row r="384">
      <c r="A384" t="inlineStr">
        <is>
          <t>AMD-001059</t>
        </is>
      </c>
      <c r="B384" t="inlineStr">
        <is>
          <t>2024-03-09</t>
        </is>
      </c>
      <c r="C384" t="inlineStr">
        <is>
          <t>WL-03272</t>
        </is>
      </c>
      <c r="D384" t="inlineStr">
        <is>
          <t>Amendment with no certificate and no downstream skip events</t>
        </is>
      </c>
      <c r="E384" t="inlineStr">
        <is>
          <t>Priority 2</t>
        </is>
      </c>
    </row>
    <row r="385">
      <c r="A385" t="inlineStr">
        <is>
          <t>AMD-001092</t>
        </is>
      </c>
      <c r="B385" t="inlineStr">
        <is>
          <t>2024-03-30</t>
        </is>
      </c>
      <c r="C385" t="inlineStr">
        <is>
          <t>WL-01999</t>
        </is>
      </c>
      <c r="D385" t="inlineStr">
        <is>
          <t>Amendment with no certificate and no downstream skip events</t>
        </is>
      </c>
      <c r="E385" t="inlineStr">
        <is>
          <t>Priority 2</t>
        </is>
      </c>
    </row>
    <row r="386">
      <c r="A386" t="inlineStr">
        <is>
          <t>AMD-001093</t>
        </is>
      </c>
      <c r="B386" t="inlineStr">
        <is>
          <t>2024-04-01</t>
        </is>
      </c>
      <c r="C386" t="inlineStr">
        <is>
          <t>WL-01027</t>
        </is>
      </c>
      <c r="D386" t="inlineStr">
        <is>
          <t>Amendment with no certificate and no downstream skip events</t>
        </is>
      </c>
      <c r="E386" t="inlineStr">
        <is>
          <t>Priority 2</t>
        </is>
      </c>
    </row>
    <row r="387">
      <c r="A387" t="inlineStr">
        <is>
          <t>AMD-001105</t>
        </is>
      </c>
      <c r="B387" t="inlineStr">
        <is>
          <t>2024-04-11</t>
        </is>
      </c>
      <c r="C387" t="inlineStr">
        <is>
          <t>WL-02950</t>
        </is>
      </c>
      <c r="D387" t="inlineStr">
        <is>
          <t>Amendment with no certificate and no downstream skip events</t>
        </is>
      </c>
      <c r="E387" t="inlineStr">
        <is>
          <t>Priority 2</t>
        </is>
      </c>
    </row>
    <row r="388">
      <c r="A388" t="inlineStr">
        <is>
          <t>AMD-001117</t>
        </is>
      </c>
      <c r="B388" t="inlineStr">
        <is>
          <t>2024-04-17</t>
        </is>
      </c>
      <c r="C388" t="inlineStr">
        <is>
          <t>WL-02128</t>
        </is>
      </c>
      <c r="D388" t="inlineStr">
        <is>
          <t>Amendment with no certificate and no downstream skip events</t>
        </is>
      </c>
      <c r="E388" t="inlineStr">
        <is>
          <t>Priority 2</t>
        </is>
      </c>
    </row>
    <row r="389">
      <c r="A389" t="inlineStr">
        <is>
          <t>AMD-001120</t>
        </is>
      </c>
      <c r="B389" t="inlineStr">
        <is>
          <t>2024-04-20</t>
        </is>
      </c>
      <c r="C389" t="inlineStr">
        <is>
          <t>WL-02592</t>
        </is>
      </c>
      <c r="D389" t="inlineStr">
        <is>
          <t>Amendment with no certificate and no downstream skip events</t>
        </is>
      </c>
      <c r="E389" t="inlineStr">
        <is>
          <t>Priority 2</t>
        </is>
      </c>
    </row>
    <row r="390">
      <c r="A390" t="inlineStr">
        <is>
          <t>AMD-001151</t>
        </is>
      </c>
      <c r="B390" t="inlineStr">
        <is>
          <t>2024-05-14</t>
        </is>
      </c>
      <c r="C390" t="inlineStr">
        <is>
          <t>WL-02647</t>
        </is>
      </c>
      <c r="D390" t="inlineStr">
        <is>
          <t>Amendment with no certificate and no downstream skip events</t>
        </is>
      </c>
      <c r="E390" t="inlineStr">
        <is>
          <t>Priority 2</t>
        </is>
      </c>
    </row>
    <row r="391">
      <c r="A391" t="inlineStr">
        <is>
          <t>AMD-001166</t>
        </is>
      </c>
      <c r="B391" t="inlineStr">
        <is>
          <t>2024-05-27</t>
        </is>
      </c>
      <c r="C391" t="inlineStr">
        <is>
          <t>WL-01054</t>
        </is>
      </c>
      <c r="D391" t="inlineStr">
        <is>
          <t>Amendment with no certificate and no downstream skip events</t>
        </is>
      </c>
      <c r="E391" t="inlineStr">
        <is>
          <t>Priority 2</t>
        </is>
      </c>
    </row>
    <row r="392">
      <c r="A392" t="inlineStr">
        <is>
          <t>AMD-001167</t>
        </is>
      </c>
      <c r="B392" t="inlineStr">
        <is>
          <t>2024-05-28</t>
        </is>
      </c>
      <c r="C392" t="inlineStr">
        <is>
          <t>WL-01816</t>
        </is>
      </c>
      <c r="D392" t="inlineStr">
        <is>
          <t>Amendment with no certificate and no downstream skip events</t>
        </is>
      </c>
      <c r="E392" t="inlineStr">
        <is>
          <t>Priority 2</t>
        </is>
      </c>
    </row>
    <row r="393">
      <c r="A393" t="inlineStr">
        <is>
          <t>AMD-001170</t>
        </is>
      </c>
      <c r="B393" t="inlineStr">
        <is>
          <t>2024-05-29</t>
        </is>
      </c>
      <c r="C393" t="inlineStr">
        <is>
          <t>WL-01411</t>
        </is>
      </c>
      <c r="D393" t="inlineStr">
        <is>
          <t>Amendment with no certificate and no downstream skip events</t>
        </is>
      </c>
      <c r="E393" t="inlineStr">
        <is>
          <t>Priority 2</t>
        </is>
      </c>
    </row>
    <row r="394">
      <c r="A394" t="inlineStr">
        <is>
          <t>AMD-001200</t>
        </is>
      </c>
      <c r="B394" t="inlineStr">
        <is>
          <t>2024-06-28</t>
        </is>
      </c>
      <c r="C394" t="inlineStr">
        <is>
          <t>WL-02663</t>
        </is>
      </c>
      <c r="D394" t="inlineStr">
        <is>
          <t>Amendment with no certificate and no downstream skip events</t>
        </is>
      </c>
      <c r="E394" t="inlineStr">
        <is>
          <t>Priority 2</t>
        </is>
      </c>
    </row>
    <row r="395">
      <c r="A395" t="inlineStr">
        <is>
          <t>AMD-001230</t>
        </is>
      </c>
      <c r="B395" t="inlineStr">
        <is>
          <t>2024-07-23</t>
        </is>
      </c>
      <c r="C395" t="inlineStr">
        <is>
          <t>WL-01607</t>
        </is>
      </c>
      <c r="D395" t="inlineStr">
        <is>
          <t>Amendment with no certificate and no downstream skip events</t>
        </is>
      </c>
      <c r="E395" t="inlineStr">
        <is>
          <t>Priority 2</t>
        </is>
      </c>
    </row>
    <row r="396">
      <c r="A396" t="inlineStr">
        <is>
          <t>AMD-001231</t>
        </is>
      </c>
      <c r="B396" t="inlineStr">
        <is>
          <t>2024-07-28</t>
        </is>
      </c>
      <c r="C396" t="inlineStr">
        <is>
          <t>WL-01289</t>
        </is>
      </c>
      <c r="D396" t="inlineStr">
        <is>
          <t>Amendment with no certificate and no downstream skip events</t>
        </is>
      </c>
      <c r="E396" t="inlineStr">
        <is>
          <t>Priority 2</t>
        </is>
      </c>
    </row>
    <row r="397">
      <c r="A397" t="inlineStr">
        <is>
          <t>AMD-001232</t>
        </is>
      </c>
      <c r="B397" t="inlineStr">
        <is>
          <t>2024-07-31</t>
        </is>
      </c>
      <c r="C397" t="inlineStr">
        <is>
          <t>WL-01573</t>
        </is>
      </c>
      <c r="D397" t="inlineStr">
        <is>
          <t>Amendment with no certificate and no downstream skip events</t>
        </is>
      </c>
      <c r="E397" t="inlineStr">
        <is>
          <t>Priority 2</t>
        </is>
      </c>
    </row>
    <row r="398">
      <c r="A398" t="inlineStr">
        <is>
          <t>AMD-001241</t>
        </is>
      </c>
      <c r="B398" t="inlineStr">
        <is>
          <t>2024-08-05</t>
        </is>
      </c>
      <c r="C398" t="inlineStr">
        <is>
          <t>WL-02437</t>
        </is>
      </c>
      <c r="D398" t="inlineStr">
        <is>
          <t>Amendment with no certificate and no downstream skip events</t>
        </is>
      </c>
      <c r="E398" t="inlineStr">
        <is>
          <t>Priority 2</t>
        </is>
      </c>
    </row>
    <row r="399">
      <c r="A399" t="inlineStr">
        <is>
          <t>AMD-001244</t>
        </is>
      </c>
      <c r="B399" t="inlineStr">
        <is>
          <t>2024-08-06</t>
        </is>
      </c>
      <c r="C399" t="inlineStr">
        <is>
          <t>WL-01492</t>
        </is>
      </c>
      <c r="D399" t="inlineStr">
        <is>
          <t>Amendment with no certificate and no downstream skip events</t>
        </is>
      </c>
      <c r="E399" t="inlineStr">
        <is>
          <t>Priority 2</t>
        </is>
      </c>
    </row>
    <row r="400">
      <c r="A400" t="inlineStr">
        <is>
          <t>AMD-001260</t>
        </is>
      </c>
      <c r="B400" t="inlineStr">
        <is>
          <t>2024-08-14</t>
        </is>
      </c>
      <c r="C400" t="inlineStr">
        <is>
          <t>WL-03524</t>
        </is>
      </c>
      <c r="D400" t="inlineStr">
        <is>
          <t>Amendment with no certificate and no downstream skip events</t>
        </is>
      </c>
      <c r="E400" t="inlineStr">
        <is>
          <t>Priority 2</t>
        </is>
      </c>
    </row>
    <row r="401">
      <c r="A401" t="inlineStr">
        <is>
          <t>AMD-001263</t>
        </is>
      </c>
      <c r="B401" t="inlineStr">
        <is>
          <t>2024-08-18</t>
        </is>
      </c>
      <c r="C401" t="inlineStr">
        <is>
          <t>WL-03800</t>
        </is>
      </c>
      <c r="D401" t="inlineStr">
        <is>
          <t>Amendment with no certificate and no downstream skip events</t>
        </is>
      </c>
      <c r="E401" t="inlineStr">
        <is>
          <t>Priority 2</t>
        </is>
      </c>
    </row>
    <row r="402">
      <c r="A402" t="inlineStr">
        <is>
          <t>AMD-001267</t>
        </is>
      </c>
      <c r="B402" t="inlineStr">
        <is>
          <t>2024-08-20</t>
        </is>
      </c>
      <c r="C402" t="inlineStr">
        <is>
          <t>WL-03433</t>
        </is>
      </c>
      <c r="D402" t="inlineStr">
        <is>
          <t>Amendment with no certificate and no downstream skip events</t>
        </is>
      </c>
      <c r="E402" t="inlineStr">
        <is>
          <t>Priority 2</t>
        </is>
      </c>
    </row>
    <row r="403">
      <c r="A403" t="inlineStr">
        <is>
          <t>AMD-001278</t>
        </is>
      </c>
      <c r="B403" t="inlineStr">
        <is>
          <t>2024-08-29</t>
        </is>
      </c>
      <c r="C403" t="inlineStr">
        <is>
          <t>WL-02527</t>
        </is>
      </c>
      <c r="D403" t="inlineStr">
        <is>
          <t>Amendment with no certificate and no downstream skip events</t>
        </is>
      </c>
      <c r="E403" t="inlineStr">
        <is>
          <t>Priority 2</t>
        </is>
      </c>
    </row>
    <row r="404">
      <c r="A404" t="inlineStr">
        <is>
          <t>AMD-001279</t>
        </is>
      </c>
      <c r="B404" t="inlineStr">
        <is>
          <t>2024-08-30</t>
        </is>
      </c>
      <c r="C404" t="inlineStr">
        <is>
          <t>WL-02561</t>
        </is>
      </c>
      <c r="D404" t="inlineStr">
        <is>
          <t>Amendment with no certificate and no downstream skip events</t>
        </is>
      </c>
      <c r="E404" t="inlineStr">
        <is>
          <t>Priority 2</t>
        </is>
      </c>
    </row>
    <row r="405">
      <c r="A405" t="inlineStr">
        <is>
          <t>AMD-001287</t>
        </is>
      </c>
      <c r="B405" t="inlineStr">
        <is>
          <t>2024-09-04</t>
        </is>
      </c>
      <c r="C405" t="inlineStr">
        <is>
          <t>WL-03381</t>
        </is>
      </c>
      <c r="D405" t="inlineStr">
        <is>
          <t>Amendment with no certificate and no downstream skip events</t>
        </is>
      </c>
      <c r="E405" t="inlineStr">
        <is>
          <t>Priority 2</t>
        </is>
      </c>
    </row>
    <row r="406">
      <c r="A406" t="inlineStr">
        <is>
          <t>AMD-001294</t>
        </is>
      </c>
      <c r="B406" t="inlineStr">
        <is>
          <t>2024-09-08</t>
        </is>
      </c>
      <c r="C406" t="inlineStr">
        <is>
          <t>WL-01766</t>
        </is>
      </c>
      <c r="D406" t="inlineStr">
        <is>
          <t>Amendment with no certificate and no downstream skip events</t>
        </is>
      </c>
      <c r="E406" t="inlineStr">
        <is>
          <t>Priority 2</t>
        </is>
      </c>
    </row>
    <row r="407">
      <c r="A407" t="inlineStr">
        <is>
          <t>AMD-001311</t>
        </is>
      </c>
      <c r="B407" t="inlineStr">
        <is>
          <t>2024-09-20</t>
        </is>
      </c>
      <c r="C407" t="inlineStr">
        <is>
          <t>WL-02239</t>
        </is>
      </c>
      <c r="D407" t="inlineStr">
        <is>
          <t>Amendment with no certificate and no downstream skip events</t>
        </is>
      </c>
      <c r="E407" t="inlineStr">
        <is>
          <t>Priority 2</t>
        </is>
      </c>
    </row>
    <row r="408">
      <c r="A408" t="inlineStr">
        <is>
          <t>AMD-001313</t>
        </is>
      </c>
      <c r="B408" t="inlineStr">
        <is>
          <t>2024-09-21</t>
        </is>
      </c>
      <c r="C408" t="inlineStr">
        <is>
          <t>WL-02310</t>
        </is>
      </c>
      <c r="D408" t="inlineStr">
        <is>
          <t>Amendment with no certificate and no downstream skip events</t>
        </is>
      </c>
      <c r="E408" t="inlineStr">
        <is>
          <t>Priority 2</t>
        </is>
      </c>
    </row>
    <row r="409">
      <c r="A409" t="inlineStr">
        <is>
          <t>AMD-001323</t>
        </is>
      </c>
      <c r="B409" t="inlineStr">
        <is>
          <t>2024-10-04</t>
        </is>
      </c>
      <c r="C409" t="inlineStr">
        <is>
          <t>WL-01430</t>
        </is>
      </c>
      <c r="D409" t="inlineStr">
        <is>
          <t>Amendment with no certificate and no downstream skip events</t>
        </is>
      </c>
      <c r="E409" t="inlineStr">
        <is>
          <t>Priority 2</t>
        </is>
      </c>
    </row>
    <row r="410">
      <c r="A410" t="inlineStr">
        <is>
          <t>AMD-001328</t>
        </is>
      </c>
      <c r="B410" t="inlineStr">
        <is>
          <t>2024-10-08</t>
        </is>
      </c>
      <c r="C410" t="inlineStr">
        <is>
          <t>WL-03547</t>
        </is>
      </c>
      <c r="D410" t="inlineStr">
        <is>
          <t>Amendment with no certificate and no downstream skip events</t>
        </is>
      </c>
      <c r="E410" t="inlineStr">
        <is>
          <t>Priority 2</t>
        </is>
      </c>
    </row>
    <row r="411">
      <c r="A411" t="inlineStr">
        <is>
          <t>AMD-001331</t>
        </is>
      </c>
      <c r="B411" t="inlineStr">
        <is>
          <t>2024-10-11</t>
        </is>
      </c>
      <c r="C411" t="inlineStr">
        <is>
          <t>WL-03757</t>
        </is>
      </c>
      <c r="D411" t="inlineStr">
        <is>
          <t>Amendment with no certificate and no downstream skip events</t>
        </is>
      </c>
      <c r="E411" t="inlineStr">
        <is>
          <t>Priority 2</t>
        </is>
      </c>
    </row>
    <row r="412">
      <c r="A412" t="inlineStr">
        <is>
          <t>AMD-001350</t>
        </is>
      </c>
      <c r="B412" t="inlineStr">
        <is>
          <t>2024-10-29</t>
        </is>
      </c>
      <c r="C412" t="inlineStr">
        <is>
          <t>WL-02398</t>
        </is>
      </c>
      <c r="D412" t="inlineStr">
        <is>
          <t>Amendment with no certificate and no downstream skip events</t>
        </is>
      </c>
      <c r="E412" t="inlineStr">
        <is>
          <t>Priority 2</t>
        </is>
      </c>
    </row>
    <row r="413">
      <c r="A413" t="inlineStr">
        <is>
          <t>AMD-001362</t>
        </is>
      </c>
      <c r="B413" t="inlineStr">
        <is>
          <t>2024-11-05</t>
        </is>
      </c>
      <c r="C413" t="inlineStr">
        <is>
          <t>WL-03050</t>
        </is>
      </c>
      <c r="D413" t="inlineStr">
        <is>
          <t>Amendment with no certificate and no downstream skip events</t>
        </is>
      </c>
      <c r="E413" t="inlineStr">
        <is>
          <t>Priority 2</t>
        </is>
      </c>
    </row>
    <row r="414">
      <c r="A414" t="inlineStr">
        <is>
          <t>AMD-001384</t>
        </is>
      </c>
      <c r="B414" t="inlineStr">
        <is>
          <t>2024-11-19</t>
        </is>
      </c>
      <c r="C414" t="inlineStr">
        <is>
          <t>WL-02442</t>
        </is>
      </c>
      <c r="D414" t="inlineStr">
        <is>
          <t>Amendment with no certificate and no downstream skip events</t>
        </is>
      </c>
      <c r="E414" t="inlineStr">
        <is>
          <t>Priority 2</t>
        </is>
      </c>
    </row>
    <row r="415">
      <c r="A415" t="inlineStr">
        <is>
          <t>AMD-001400</t>
        </is>
      </c>
      <c r="B415" t="inlineStr">
        <is>
          <t>2024-11-28</t>
        </is>
      </c>
      <c r="C415" t="inlineStr">
        <is>
          <t>WL-03511</t>
        </is>
      </c>
      <c r="D415" t="inlineStr">
        <is>
          <t>Amendment with no certificate and no downstream skip events</t>
        </is>
      </c>
      <c r="E415" t="inlineStr">
        <is>
          <t>Priority 2</t>
        </is>
      </c>
    </row>
    <row r="416">
      <c r="A416" t="inlineStr">
        <is>
          <t>AMD-001403</t>
        </is>
      </c>
      <c r="B416" t="inlineStr">
        <is>
          <t>2024-11-30</t>
        </is>
      </c>
      <c r="C416" t="inlineStr">
        <is>
          <t>WL-02150</t>
        </is>
      </c>
      <c r="D416" t="inlineStr">
        <is>
          <t>Amendment with no certificate and no downstream skip events</t>
        </is>
      </c>
      <c r="E416" t="inlineStr">
        <is>
          <t>Priority 2</t>
        </is>
      </c>
    </row>
    <row r="417">
      <c r="A417" t="inlineStr">
        <is>
          <t>AMD-001406</t>
        </is>
      </c>
      <c r="B417" t="inlineStr">
        <is>
          <t>2024-12-02</t>
        </is>
      </c>
      <c r="C417" t="inlineStr">
        <is>
          <t>WL-03583</t>
        </is>
      </c>
      <c r="D417" t="inlineStr">
        <is>
          <t>Amendment with no certificate and no downstream skip events</t>
        </is>
      </c>
      <c r="E417" t="inlineStr">
        <is>
          <t>Priority 2</t>
        </is>
      </c>
    </row>
    <row r="418">
      <c r="A418" t="inlineStr">
        <is>
          <t>AMD-001408</t>
        </is>
      </c>
      <c r="B418" t="inlineStr">
        <is>
          <t>2024-12-05</t>
        </is>
      </c>
      <c r="C418" t="inlineStr">
        <is>
          <t>WL-02001</t>
        </is>
      </c>
      <c r="D418" t="inlineStr">
        <is>
          <t>Amendment with no certificate and no downstream skip events</t>
        </is>
      </c>
      <c r="E418" t="inlineStr">
        <is>
          <t>Priority 2</t>
        </is>
      </c>
    </row>
    <row r="419">
      <c r="A419" t="inlineStr">
        <is>
          <t>AMD-001409</t>
        </is>
      </c>
      <c r="B419" t="inlineStr">
        <is>
          <t>2024-12-05</t>
        </is>
      </c>
      <c r="C419" t="inlineStr">
        <is>
          <t>WL-02133</t>
        </is>
      </c>
      <c r="D419" t="inlineStr">
        <is>
          <t>Amendment with no certificate and no downstream skip events</t>
        </is>
      </c>
      <c r="E419" t="inlineStr">
        <is>
          <t>Priority 2</t>
        </is>
      </c>
    </row>
    <row r="420">
      <c r="A420" t="inlineStr">
        <is>
          <t>AMD-001411</t>
        </is>
      </c>
      <c r="B420" t="inlineStr">
        <is>
          <t>2024-12-07</t>
        </is>
      </c>
      <c r="C420" t="inlineStr">
        <is>
          <t>WL-02026</t>
        </is>
      </c>
      <c r="D420" t="inlineStr">
        <is>
          <t>Amendment with no certificate and no downstream skip events</t>
        </is>
      </c>
      <c r="E420" t="inlineStr">
        <is>
          <t>Priority 2</t>
        </is>
      </c>
    </row>
    <row r="421">
      <c r="A421" t="inlineStr">
        <is>
          <t>AMD-001414</t>
        </is>
      </c>
      <c r="B421" t="inlineStr">
        <is>
          <t>2024-12-11</t>
        </is>
      </c>
      <c r="C421" t="inlineStr">
        <is>
          <t>WL-03890</t>
        </is>
      </c>
      <c r="D421" t="inlineStr">
        <is>
          <t>Amendment with no certificate and no downstream skip events</t>
        </is>
      </c>
      <c r="E421" t="inlineStr">
        <is>
          <t>Priority 2</t>
        </is>
      </c>
    </row>
    <row r="422">
      <c r="A422" t="inlineStr">
        <is>
          <t>AMD-001427</t>
        </is>
      </c>
      <c r="B422" t="inlineStr">
        <is>
          <t>2024-12-22</t>
        </is>
      </c>
      <c r="C422" t="inlineStr">
        <is>
          <t>WL-03470</t>
        </is>
      </c>
      <c r="D422" t="inlineStr">
        <is>
          <t>Amendment with no certificate and no downstream skip events</t>
        </is>
      </c>
      <c r="E422" t="inlineStr">
        <is>
          <t>Priority 2</t>
        </is>
      </c>
    </row>
    <row r="423">
      <c r="A423" t="inlineStr">
        <is>
          <t>AMD-001430</t>
        </is>
      </c>
      <c r="B423" t="inlineStr">
        <is>
          <t>2024-12-24</t>
        </is>
      </c>
      <c r="C423" t="inlineStr">
        <is>
          <t>WL-03335</t>
        </is>
      </c>
      <c r="D423" t="inlineStr">
        <is>
          <t>Amendment with no certificate and no downstream skip events</t>
        </is>
      </c>
      <c r="E423" t="inlineStr">
        <is>
          <t>Priority 2</t>
        </is>
      </c>
    </row>
    <row r="424">
      <c r="A424" t="inlineStr">
        <is>
          <t>AMD-001444</t>
        </is>
      </c>
      <c r="B424" t="inlineStr">
        <is>
          <t>2025-01-09</t>
        </is>
      </c>
      <c r="C424" t="inlineStr">
        <is>
          <t>WL-02327</t>
        </is>
      </c>
      <c r="D424" t="inlineStr">
        <is>
          <t>Amendment with no certificate and no downstream skip events</t>
        </is>
      </c>
      <c r="E424" t="inlineStr">
        <is>
          <t>Priority 2</t>
        </is>
      </c>
    </row>
    <row r="425">
      <c r="A425" t="inlineStr">
        <is>
          <t>AMD-001449</t>
        </is>
      </c>
      <c r="B425" t="inlineStr">
        <is>
          <t>2025-01-13</t>
        </is>
      </c>
      <c r="C425" t="inlineStr">
        <is>
          <t>WL-01855</t>
        </is>
      </c>
      <c r="D425" t="inlineStr">
        <is>
          <t>Amendment with no certificate and no downstream skip events</t>
        </is>
      </c>
      <c r="E425" t="inlineStr">
        <is>
          <t>Priority 2</t>
        </is>
      </c>
    </row>
    <row r="426">
      <c r="A426" t="inlineStr">
        <is>
          <t>AMD-001453</t>
        </is>
      </c>
      <c r="B426" t="inlineStr">
        <is>
          <t>2025-01-14</t>
        </is>
      </c>
      <c r="C426" t="inlineStr">
        <is>
          <t>WL-03650</t>
        </is>
      </c>
      <c r="D426" t="inlineStr">
        <is>
          <t>Amendment with no certificate and no downstream skip events</t>
        </is>
      </c>
      <c r="E426" t="inlineStr">
        <is>
          <t>Priority 2</t>
        </is>
      </c>
    </row>
    <row r="427">
      <c r="A427" t="inlineStr">
        <is>
          <t>AMD-001460</t>
        </is>
      </c>
      <c r="B427" t="inlineStr">
        <is>
          <t>2025-01-17</t>
        </is>
      </c>
      <c r="C427" t="inlineStr">
        <is>
          <t>WL-02180</t>
        </is>
      </c>
      <c r="D427" t="inlineStr">
        <is>
          <t>Amendment with no certificate and no downstream skip events</t>
        </is>
      </c>
      <c r="E427" t="inlineStr">
        <is>
          <t>Priority 2</t>
        </is>
      </c>
    </row>
    <row r="428">
      <c r="A428" t="inlineStr">
        <is>
          <t>AMD-001468</t>
        </is>
      </c>
      <c r="B428" t="inlineStr">
        <is>
          <t>2025-01-23</t>
        </is>
      </c>
      <c r="C428" t="inlineStr">
        <is>
          <t>WL-02459</t>
        </is>
      </c>
      <c r="D428" t="inlineStr">
        <is>
          <t>Amendment with no certificate and no downstream skip events</t>
        </is>
      </c>
      <c r="E428" t="inlineStr">
        <is>
          <t>Priority 2</t>
        </is>
      </c>
    </row>
    <row r="429">
      <c r="A429" t="inlineStr">
        <is>
          <t>AMD-001481</t>
        </is>
      </c>
      <c r="B429" t="inlineStr">
        <is>
          <t>2025-01-30</t>
        </is>
      </c>
      <c r="C429" t="inlineStr">
        <is>
          <t>WL-02143</t>
        </is>
      </c>
      <c r="D429" t="inlineStr">
        <is>
          <t>Amendment with no certificate and no downstream skip events</t>
        </is>
      </c>
      <c r="E429" t="inlineStr">
        <is>
          <t>Priority 2</t>
        </is>
      </c>
    </row>
    <row r="430">
      <c r="A430" t="inlineStr">
        <is>
          <t>AMD-001519</t>
        </is>
      </c>
      <c r="B430" t="inlineStr">
        <is>
          <t>2025-02-22</t>
        </is>
      </c>
      <c r="C430" t="inlineStr">
        <is>
          <t>WL-02035</t>
        </is>
      </c>
      <c r="D430" t="inlineStr">
        <is>
          <t>Amendment with no certificate and no downstream skip events</t>
        </is>
      </c>
      <c r="E430" t="inlineStr">
        <is>
          <t>Priority 2</t>
        </is>
      </c>
    </row>
    <row r="431">
      <c r="A431" t="inlineStr">
        <is>
          <t>AMD-001525</t>
        </is>
      </c>
      <c r="B431" t="inlineStr">
        <is>
          <t>2025-02-28</t>
        </is>
      </c>
      <c r="C431" t="inlineStr">
        <is>
          <t>WL-01612</t>
        </is>
      </c>
      <c r="D431" t="inlineStr">
        <is>
          <t>Amendment with no certificate and no downstream skip events</t>
        </is>
      </c>
      <c r="E431" t="inlineStr">
        <is>
          <t>Priority 2</t>
        </is>
      </c>
    </row>
    <row r="432">
      <c r="A432" t="inlineStr">
        <is>
          <t>AMD-001535</t>
        </is>
      </c>
      <c r="B432" t="inlineStr">
        <is>
          <t>2025-03-09</t>
        </is>
      </c>
      <c r="C432" t="inlineStr">
        <is>
          <t>WL-02431</t>
        </is>
      </c>
      <c r="D432" t="inlineStr">
        <is>
          <t>Amendment with no certificate and no downstream skip events</t>
        </is>
      </c>
      <c r="E432" t="inlineStr">
        <is>
          <t>Priority 2</t>
        </is>
      </c>
    </row>
    <row r="433">
      <c r="A433" t="inlineStr">
        <is>
          <t>AMD-001545</t>
        </is>
      </c>
      <c r="B433" t="inlineStr">
        <is>
          <t>2025-03-15</t>
        </is>
      </c>
      <c r="C433" t="inlineStr">
        <is>
          <t>WL-02150</t>
        </is>
      </c>
      <c r="D433" t="inlineStr">
        <is>
          <t>Amendment with no certificate and no downstream skip events</t>
        </is>
      </c>
      <c r="E433" t="inlineStr">
        <is>
          <t>Priority 2</t>
        </is>
      </c>
    </row>
    <row r="434">
      <c r="A434" t="inlineStr">
        <is>
          <t>AMD-001557</t>
        </is>
      </c>
      <c r="B434" t="inlineStr">
        <is>
          <t>2025-03-26</t>
        </is>
      </c>
      <c r="C434" t="inlineStr">
        <is>
          <t>WL-01173</t>
        </is>
      </c>
      <c r="D434" t="inlineStr">
        <is>
          <t>Amendment with no certificate and no downstream skip events</t>
        </is>
      </c>
      <c r="E434" t="inlineStr">
        <is>
          <t>Priority 2</t>
        </is>
      </c>
    </row>
    <row r="435">
      <c r="A435" t="inlineStr">
        <is>
          <t>AMD-001563</t>
        </is>
      </c>
      <c r="B435" t="inlineStr">
        <is>
          <t>2025-03-29</t>
        </is>
      </c>
      <c r="C435" t="inlineStr">
        <is>
          <t>WL-01350</t>
        </is>
      </c>
      <c r="D435" t="inlineStr">
        <is>
          <t>Amendment with no certificate and no downstream skip events</t>
        </is>
      </c>
      <c r="E435" t="inlineStr">
        <is>
          <t>Priority 2</t>
        </is>
      </c>
    </row>
    <row r="436">
      <c r="A436" t="inlineStr">
        <is>
          <t>AMD-001565</t>
        </is>
      </c>
      <c r="B436" t="inlineStr">
        <is>
          <t>2025-03-30</t>
        </is>
      </c>
      <c r="C436" t="inlineStr">
        <is>
          <t>WL-01349</t>
        </is>
      </c>
      <c r="D436" t="inlineStr">
        <is>
          <t>Amendment with no certificate and no downstream skip events</t>
        </is>
      </c>
      <c r="E436" t="inlineStr">
        <is>
          <t>Priority 2</t>
        </is>
      </c>
    </row>
    <row r="437">
      <c r="A437" t="inlineStr">
        <is>
          <t>AMD-001568</t>
        </is>
      </c>
      <c r="B437" t="inlineStr">
        <is>
          <t>2025-03-31</t>
        </is>
      </c>
      <c r="C437" t="inlineStr">
        <is>
          <t>WL-03245</t>
        </is>
      </c>
      <c r="D437" t="inlineStr">
        <is>
          <t>Amendment with no certificate and no downstream skip events</t>
        </is>
      </c>
      <c r="E437" t="inlineStr">
        <is>
          <t>Priority 2</t>
        </is>
      </c>
    </row>
    <row r="438">
      <c r="A438" t="inlineStr">
        <is>
          <t>AMD-001570</t>
        </is>
      </c>
      <c r="B438" t="inlineStr">
        <is>
          <t>2025-04-01</t>
        </is>
      </c>
      <c r="C438" t="inlineStr">
        <is>
          <t>WL-02799</t>
        </is>
      </c>
      <c r="D438" t="inlineStr">
        <is>
          <t>Amendment with no certificate and no downstream skip events</t>
        </is>
      </c>
      <c r="E438" t="inlineStr">
        <is>
          <t>Priority 2</t>
        </is>
      </c>
    </row>
    <row r="439">
      <c r="A439" t="inlineStr">
        <is>
          <t>AMD-001577</t>
        </is>
      </c>
      <c r="B439" t="inlineStr">
        <is>
          <t>2025-04-09</t>
        </is>
      </c>
      <c r="C439" t="inlineStr">
        <is>
          <t>WL-03646</t>
        </is>
      </c>
      <c r="D439" t="inlineStr">
        <is>
          <t>Amendment with no certificate and no downstream skip events</t>
        </is>
      </c>
      <c r="E439" t="inlineStr">
        <is>
          <t>Priority 2</t>
        </is>
      </c>
    </row>
    <row r="440">
      <c r="A440" t="inlineStr">
        <is>
          <t>AMD-001591</t>
        </is>
      </c>
      <c r="B440" t="inlineStr">
        <is>
          <t>2025-04-18</t>
        </is>
      </c>
      <c r="C440" t="inlineStr">
        <is>
          <t>WL-02821</t>
        </is>
      </c>
      <c r="D440" t="inlineStr">
        <is>
          <t>Amendment with no certificate and no downstream skip events</t>
        </is>
      </c>
      <c r="E440" t="inlineStr">
        <is>
          <t>Priority 2</t>
        </is>
      </c>
    </row>
    <row r="441">
      <c r="A441" t="inlineStr">
        <is>
          <t>AMD-001597</t>
        </is>
      </c>
      <c r="B441" t="inlineStr">
        <is>
          <t>2025-04-23</t>
        </is>
      </c>
      <c r="C441" t="inlineStr">
        <is>
          <t>WL-03413</t>
        </is>
      </c>
      <c r="D441" t="inlineStr">
        <is>
          <t>Amendment with no certificate and no downstream skip events</t>
        </is>
      </c>
      <c r="E441" t="inlineStr">
        <is>
          <t>Priority 2</t>
        </is>
      </c>
    </row>
    <row r="442">
      <c r="A442" t="inlineStr">
        <is>
          <t>AMD-001598</t>
        </is>
      </c>
      <c r="B442" t="inlineStr">
        <is>
          <t>2025-04-23</t>
        </is>
      </c>
      <c r="C442" t="inlineStr">
        <is>
          <t>WL-03035</t>
        </is>
      </c>
      <c r="D442" t="inlineStr">
        <is>
          <t>Amendment with no certificate and no downstream skip events</t>
        </is>
      </c>
      <c r="E442" t="inlineStr">
        <is>
          <t>Priority 2</t>
        </is>
      </c>
    </row>
    <row r="443">
      <c r="A443" t="inlineStr">
        <is>
          <t>AMD-001604</t>
        </is>
      </c>
      <c r="B443" t="inlineStr">
        <is>
          <t>2025-04-26</t>
        </is>
      </c>
      <c r="C443" t="inlineStr">
        <is>
          <t>WL-03135</t>
        </is>
      </c>
      <c r="D443" t="inlineStr">
        <is>
          <t>Amendment with no certificate and no downstream skip events</t>
        </is>
      </c>
      <c r="E443" t="inlineStr">
        <is>
          <t>Priority 2</t>
        </is>
      </c>
    </row>
    <row r="444">
      <c r="A444" t="inlineStr">
        <is>
          <t>AMD-001606</t>
        </is>
      </c>
      <c r="B444" t="inlineStr">
        <is>
          <t>2025-04-28</t>
        </is>
      </c>
      <c r="C444" t="inlineStr">
        <is>
          <t>WL-02090</t>
        </is>
      </c>
      <c r="D444" t="inlineStr">
        <is>
          <t>Amendment with no certificate and no downstream skip events</t>
        </is>
      </c>
      <c r="E444" t="inlineStr">
        <is>
          <t>Priority 2</t>
        </is>
      </c>
    </row>
    <row r="445">
      <c r="A445" t="inlineStr">
        <is>
          <t>AMD-001608</t>
        </is>
      </c>
      <c r="B445" t="inlineStr">
        <is>
          <t>2025-05-01</t>
        </is>
      </c>
      <c r="C445" t="inlineStr">
        <is>
          <t>WL-02816</t>
        </is>
      </c>
      <c r="D445" t="inlineStr">
        <is>
          <t>Amendment with no certificate and no downstream skip events</t>
        </is>
      </c>
      <c r="E445" t="inlineStr">
        <is>
          <t>Priority 2</t>
        </is>
      </c>
    </row>
    <row r="446">
      <c r="A446" t="inlineStr">
        <is>
          <t>AMD-001620</t>
        </is>
      </c>
      <c r="B446" t="inlineStr">
        <is>
          <t>2025-05-06</t>
        </is>
      </c>
      <c r="C446" t="inlineStr">
        <is>
          <t>WL-01328</t>
        </is>
      </c>
      <c r="D446" t="inlineStr">
        <is>
          <t>Amendment with no certificate and no downstream skip events</t>
        </is>
      </c>
      <c r="E446" t="inlineStr">
        <is>
          <t>Priority 2</t>
        </is>
      </c>
    </row>
    <row r="447">
      <c r="A447" t="inlineStr">
        <is>
          <t>AMD-001635</t>
        </is>
      </c>
      <c r="B447" t="inlineStr">
        <is>
          <t>2025-05-16</t>
        </is>
      </c>
      <c r="C447" t="inlineStr">
        <is>
          <t>WL-03261</t>
        </is>
      </c>
      <c r="D447" t="inlineStr">
        <is>
          <t>Amendment with no certificate and no downstream skip events</t>
        </is>
      </c>
      <c r="E447" t="inlineStr">
        <is>
          <t>Priority 2</t>
        </is>
      </c>
    </row>
    <row r="448">
      <c r="A448" t="inlineStr">
        <is>
          <t>AMD-001646</t>
        </is>
      </c>
      <c r="B448" t="inlineStr">
        <is>
          <t>2025-05-23</t>
        </is>
      </c>
      <c r="C448" t="inlineStr">
        <is>
          <t>WL-01993</t>
        </is>
      </c>
      <c r="D448" t="inlineStr">
        <is>
          <t>Amendment with no certificate and no downstream skip events</t>
        </is>
      </c>
      <c r="E448" t="inlineStr">
        <is>
          <t>Priority 2</t>
        </is>
      </c>
    </row>
    <row r="449">
      <c r="A449" t="inlineStr">
        <is>
          <t>AMD-001647</t>
        </is>
      </c>
      <c r="B449" t="inlineStr">
        <is>
          <t>2025-05-23</t>
        </is>
      </c>
      <c r="C449" t="inlineStr">
        <is>
          <t>WL-02083</t>
        </is>
      </c>
      <c r="D449" t="inlineStr">
        <is>
          <t>Amendment with no certificate and no downstream skip events</t>
        </is>
      </c>
      <c r="E449" t="inlineStr">
        <is>
          <t>Priority 2</t>
        </is>
      </c>
    </row>
    <row r="450">
      <c r="A450" t="inlineStr">
        <is>
          <t>AMD-001655</t>
        </is>
      </c>
      <c r="B450" t="inlineStr">
        <is>
          <t>2025-05-26</t>
        </is>
      </c>
      <c r="C450" t="inlineStr">
        <is>
          <t>WL-03503</t>
        </is>
      </c>
      <c r="D450" t="inlineStr">
        <is>
          <t>Amendment with no certificate and no downstream skip events</t>
        </is>
      </c>
      <c r="E450" t="inlineStr">
        <is>
          <t>Priority 2</t>
        </is>
      </c>
    </row>
    <row r="451">
      <c r="A451" t="inlineStr">
        <is>
          <t>AMD-001659</t>
        </is>
      </c>
      <c r="B451" t="inlineStr">
        <is>
          <t>2025-05-27</t>
        </is>
      </c>
      <c r="C451" t="inlineStr">
        <is>
          <t>WL-01977</t>
        </is>
      </c>
      <c r="D451" t="inlineStr">
        <is>
          <t>Amendment with no certificate and no downstream skip events</t>
        </is>
      </c>
      <c r="E451" t="inlineStr">
        <is>
          <t>Priority 2</t>
        </is>
      </c>
    </row>
    <row r="452">
      <c r="A452" t="inlineStr">
        <is>
          <t>AMD-001681</t>
        </is>
      </c>
      <c r="B452" t="inlineStr">
        <is>
          <t>2025-06-18</t>
        </is>
      </c>
      <c r="C452" t="inlineStr">
        <is>
          <t>WL-01556</t>
        </is>
      </c>
      <c r="D452" t="inlineStr">
        <is>
          <t>Amendment with no certificate and no downstream skip events</t>
        </is>
      </c>
      <c r="E452" t="inlineStr">
        <is>
          <t>Priority 2</t>
        </is>
      </c>
    </row>
    <row r="453">
      <c r="A453" t="inlineStr">
        <is>
          <t>AMD-001691</t>
        </is>
      </c>
      <c r="B453" t="inlineStr">
        <is>
          <t>2025-06-25</t>
        </is>
      </c>
      <c r="C453" t="inlineStr">
        <is>
          <t>WL-02109</t>
        </is>
      </c>
      <c r="D453" t="inlineStr">
        <is>
          <t>Amendment with no certificate and no downstream skip events</t>
        </is>
      </c>
      <c r="E453" t="inlineStr">
        <is>
          <t>Priority 2</t>
        </is>
      </c>
    </row>
    <row r="454">
      <c r="A454" t="inlineStr">
        <is>
          <t>AMD-001695</t>
        </is>
      </c>
      <c r="B454" t="inlineStr">
        <is>
          <t>2025-06-26</t>
        </is>
      </c>
      <c r="C454" t="inlineStr">
        <is>
          <t>WL-02213</t>
        </is>
      </c>
      <c r="D454" t="inlineStr">
        <is>
          <t>Amendment with no certificate and no downstream skip events</t>
        </is>
      </c>
      <c r="E454" t="inlineStr">
        <is>
          <t>Priority 2</t>
        </is>
      </c>
    </row>
    <row r="455">
      <c r="A455" t="inlineStr">
        <is>
          <t>AMD-001700</t>
        </is>
      </c>
      <c r="B455" t="inlineStr">
        <is>
          <t>2025-06-30</t>
        </is>
      </c>
      <c r="C455" t="inlineStr">
        <is>
          <t>WL-01474</t>
        </is>
      </c>
      <c r="D455" t="inlineStr">
        <is>
          <t>Amendment with no certificate and no downstream skip events</t>
        </is>
      </c>
      <c r="E455" t="inlineStr">
        <is>
          <t>Priority 2</t>
        </is>
      </c>
    </row>
    <row r="456">
      <c r="A456" t="inlineStr">
        <is>
          <t>AMD-001705</t>
        </is>
      </c>
      <c r="B456" t="inlineStr">
        <is>
          <t>2025-07-04</t>
        </is>
      </c>
      <c r="C456" t="inlineStr">
        <is>
          <t>WL-03031</t>
        </is>
      </c>
      <c r="D456" t="inlineStr">
        <is>
          <t>Amendment with no certificate and no downstream skip events</t>
        </is>
      </c>
      <c r="E456" t="inlineStr">
        <is>
          <t>Priority 2</t>
        </is>
      </c>
    </row>
    <row r="457">
      <c r="A457" t="inlineStr">
        <is>
          <t>AMD-001727</t>
        </is>
      </c>
      <c r="B457" t="inlineStr">
        <is>
          <t>2025-07-23</t>
        </is>
      </c>
      <c r="C457" t="inlineStr">
        <is>
          <t>WL-02506</t>
        </is>
      </c>
      <c r="D457" t="inlineStr">
        <is>
          <t>Amendment with no certificate and no downstream skip events</t>
        </is>
      </c>
      <c r="E457" t="inlineStr">
        <is>
          <t>Priority 2</t>
        </is>
      </c>
    </row>
    <row r="458">
      <c r="A458" t="inlineStr">
        <is>
          <t>AMD-001749</t>
        </is>
      </c>
      <c r="B458" t="inlineStr">
        <is>
          <t>2025-08-09</t>
        </is>
      </c>
      <c r="C458" t="inlineStr">
        <is>
          <t>WL-01867</t>
        </is>
      </c>
      <c r="D458" t="inlineStr">
        <is>
          <t>Amendment with no certificate and no downstream skip events</t>
        </is>
      </c>
      <c r="E458" t="inlineStr">
        <is>
          <t>Priority 2</t>
        </is>
      </c>
    </row>
    <row r="459">
      <c r="A459" t="inlineStr">
        <is>
          <t>AMD-001778</t>
        </is>
      </c>
      <c r="B459" t="inlineStr">
        <is>
          <t>2025-09-03</t>
        </is>
      </c>
      <c r="C459" t="inlineStr">
        <is>
          <t>WL-02031</t>
        </is>
      </c>
      <c r="D459" t="inlineStr">
        <is>
          <t>Amendment with no certificate and no downstream skip events</t>
        </is>
      </c>
      <c r="E459" t="inlineStr">
        <is>
          <t>Priority 2</t>
        </is>
      </c>
    </row>
    <row r="460">
      <c r="A460" t="inlineStr">
        <is>
          <t>AMD-001779</t>
        </is>
      </c>
      <c r="B460" t="inlineStr">
        <is>
          <t>2025-09-03</t>
        </is>
      </c>
      <c r="C460" t="inlineStr">
        <is>
          <t>WL-01603</t>
        </is>
      </c>
      <c r="D460" t="inlineStr">
        <is>
          <t>Amendment with no certificate and no downstream skip events</t>
        </is>
      </c>
      <c r="E460" t="inlineStr">
        <is>
          <t>Priority 2</t>
        </is>
      </c>
    </row>
    <row r="461">
      <c r="A461" t="inlineStr">
        <is>
          <t>AMD-001799</t>
        </is>
      </c>
      <c r="B461" t="inlineStr">
        <is>
          <t>2025-09-15</t>
        </is>
      </c>
      <c r="C461" t="inlineStr">
        <is>
          <t>WL-03292</t>
        </is>
      </c>
      <c r="D461" t="inlineStr">
        <is>
          <t>Amendment with no certificate and no downstream skip events</t>
        </is>
      </c>
      <c r="E461" t="inlineStr">
        <is>
          <t>Priority 2</t>
        </is>
      </c>
    </row>
    <row r="462">
      <c r="A462" t="inlineStr">
        <is>
          <t>AMD-001803</t>
        </is>
      </c>
      <c r="B462" t="inlineStr">
        <is>
          <t>2025-09-17</t>
        </is>
      </c>
      <c r="C462" t="inlineStr">
        <is>
          <t>WL-01275</t>
        </is>
      </c>
      <c r="D462" t="inlineStr">
        <is>
          <t>Amendment with no certificate and no downstream skip events</t>
        </is>
      </c>
      <c r="E462" t="inlineStr">
        <is>
          <t>Priority 2</t>
        </is>
      </c>
    </row>
    <row r="463">
      <c r="A463" t="inlineStr">
        <is>
          <t>AMD-001820</t>
        </is>
      </c>
      <c r="B463" t="inlineStr">
        <is>
          <t>2025-10-06</t>
        </is>
      </c>
      <c r="C463" t="inlineStr">
        <is>
          <t>WL-01357</t>
        </is>
      </c>
      <c r="D463" t="inlineStr">
        <is>
          <t>Amendment with no certificate and no downstream skip events</t>
        </is>
      </c>
      <c r="E463" t="inlineStr">
        <is>
          <t>Priority 2</t>
        </is>
      </c>
    </row>
    <row r="464">
      <c r="A464" t="inlineStr">
        <is>
          <t>AMD-001821</t>
        </is>
      </c>
      <c r="B464" t="inlineStr">
        <is>
          <t>2025-10-07</t>
        </is>
      </c>
      <c r="C464" t="inlineStr">
        <is>
          <t>WL-01113</t>
        </is>
      </c>
      <c r="D464" t="inlineStr">
        <is>
          <t>Amendment with no certificate and no downstream skip events</t>
        </is>
      </c>
      <c r="E464" t="inlineStr">
        <is>
          <t>Priority 2</t>
        </is>
      </c>
    </row>
    <row r="465">
      <c r="A465" t="inlineStr">
        <is>
          <t>AMD-001826</t>
        </is>
      </c>
      <c r="B465" t="inlineStr">
        <is>
          <t>2025-10-11</t>
        </is>
      </c>
      <c r="C465" t="inlineStr">
        <is>
          <t>WL-01845</t>
        </is>
      </c>
      <c r="D465" t="inlineStr">
        <is>
          <t>Amendment with no certificate and no downstream skip events</t>
        </is>
      </c>
      <c r="E465" t="inlineStr">
        <is>
          <t>Priority 2</t>
        </is>
      </c>
    </row>
    <row r="466">
      <c r="A466" t="inlineStr">
        <is>
          <t>AMD-001830</t>
        </is>
      </c>
      <c r="B466" t="inlineStr">
        <is>
          <t>2025-10-13</t>
        </is>
      </c>
      <c r="C466" t="inlineStr">
        <is>
          <t>WL-01423</t>
        </is>
      </c>
      <c r="D466" t="inlineStr">
        <is>
          <t>Amendment with no certificate and no downstream skip events</t>
        </is>
      </c>
      <c r="E466" t="inlineStr">
        <is>
          <t>Priority 2</t>
        </is>
      </c>
    </row>
    <row r="467">
      <c r="A467" t="inlineStr">
        <is>
          <t>AMD-001832</t>
        </is>
      </c>
      <c r="B467" t="inlineStr">
        <is>
          <t>2025-10-14</t>
        </is>
      </c>
      <c r="C467" t="inlineStr">
        <is>
          <t>WL-03048</t>
        </is>
      </c>
      <c r="D467" t="inlineStr">
        <is>
          <t>Amendment with no certificate and no downstream skip events</t>
        </is>
      </c>
      <c r="E467" t="inlineStr">
        <is>
          <t>Priority 2</t>
        </is>
      </c>
    </row>
    <row r="468">
      <c r="A468" t="inlineStr">
        <is>
          <t>AMD-001833</t>
        </is>
      </c>
      <c r="B468" t="inlineStr">
        <is>
          <t>2025-10-14</t>
        </is>
      </c>
      <c r="C468" t="inlineStr">
        <is>
          <t>WL-03181</t>
        </is>
      </c>
      <c r="D468" t="inlineStr">
        <is>
          <t>Amendment with no certificate and no downstream skip events</t>
        </is>
      </c>
      <c r="E468" t="inlineStr">
        <is>
          <t>Priority 2</t>
        </is>
      </c>
    </row>
    <row r="469">
      <c r="A469" t="inlineStr">
        <is>
          <t>AMD-001834</t>
        </is>
      </c>
      <c r="B469" t="inlineStr">
        <is>
          <t>2025-10-15</t>
        </is>
      </c>
      <c r="C469" t="inlineStr">
        <is>
          <t>WL-03679</t>
        </is>
      </c>
      <c r="D469" t="inlineStr">
        <is>
          <t>Amendment with no certificate and no downstream skip events</t>
        </is>
      </c>
      <c r="E469" t="inlineStr">
        <is>
          <t>Priority 2</t>
        </is>
      </c>
    </row>
    <row r="470">
      <c r="A470" t="inlineStr">
        <is>
          <t>AMD-001837</t>
        </is>
      </c>
      <c r="B470" t="inlineStr">
        <is>
          <t>2025-10-19</t>
        </is>
      </c>
      <c r="C470" t="inlineStr">
        <is>
          <t>WL-01057</t>
        </is>
      </c>
      <c r="D470" t="inlineStr">
        <is>
          <t>Amendment with no certificate and no downstream skip events</t>
        </is>
      </c>
      <c r="E470" t="inlineStr">
        <is>
          <t>Priority 2</t>
        </is>
      </c>
    </row>
    <row r="471">
      <c r="A471" t="inlineStr">
        <is>
          <t>AMD-001852</t>
        </is>
      </c>
      <c r="B471" t="inlineStr">
        <is>
          <t>2025-10-26</t>
        </is>
      </c>
      <c r="C471" t="inlineStr">
        <is>
          <t>WL-01995</t>
        </is>
      </c>
      <c r="D471" t="inlineStr">
        <is>
          <t>Amendment with no certificate and no downstream skip events</t>
        </is>
      </c>
      <c r="E471" t="inlineStr">
        <is>
          <t>Priority 2</t>
        </is>
      </c>
    </row>
    <row r="472">
      <c r="A472" t="inlineStr">
        <is>
          <t>AMD-001859</t>
        </is>
      </c>
      <c r="B472" t="inlineStr">
        <is>
          <t>2025-10-30</t>
        </is>
      </c>
      <c r="C472" t="inlineStr">
        <is>
          <t>WL-02085</t>
        </is>
      </c>
      <c r="D472" t="inlineStr">
        <is>
          <t>Amendment with no certificate and no downstream skip events</t>
        </is>
      </c>
      <c r="E472" t="inlineStr">
        <is>
          <t>Priority 2</t>
        </is>
      </c>
    </row>
    <row r="473">
      <c r="A473" t="inlineStr">
        <is>
          <t>AMD-001861</t>
        </is>
      </c>
      <c r="B473" t="inlineStr">
        <is>
          <t>2025-10-30</t>
        </is>
      </c>
      <c r="C473" t="inlineStr">
        <is>
          <t>WL-02978</t>
        </is>
      </c>
      <c r="D473" t="inlineStr">
        <is>
          <t>Amendment with no certificate and no downstream skip events</t>
        </is>
      </c>
      <c r="E473" t="inlineStr">
        <is>
          <t>Priority 2</t>
        </is>
      </c>
    </row>
    <row r="474">
      <c r="A474" t="inlineStr">
        <is>
          <t>AMD-001866</t>
        </is>
      </c>
      <c r="B474" t="inlineStr">
        <is>
          <t>2025-11-01</t>
        </is>
      </c>
      <c r="C474" t="inlineStr">
        <is>
          <t>WL-03887</t>
        </is>
      </c>
      <c r="D474" t="inlineStr">
        <is>
          <t>Amendment with no certificate and no downstream skip events</t>
        </is>
      </c>
      <c r="E474" t="inlineStr">
        <is>
          <t>Priority 2</t>
        </is>
      </c>
    </row>
    <row r="475">
      <c r="A475" t="inlineStr">
        <is>
          <t>AMD-001883</t>
        </is>
      </c>
      <c r="B475" t="inlineStr">
        <is>
          <t>2025-11-12</t>
        </is>
      </c>
      <c r="C475" t="inlineStr">
        <is>
          <t>WL-01947</t>
        </is>
      </c>
      <c r="D475" t="inlineStr">
        <is>
          <t>Amendment with no certificate and no downstream skip events</t>
        </is>
      </c>
      <c r="E475" t="inlineStr">
        <is>
          <t>Priority 2</t>
        </is>
      </c>
    </row>
    <row r="476">
      <c r="A476" t="inlineStr">
        <is>
          <t>AMD-001884</t>
        </is>
      </c>
      <c r="B476" t="inlineStr">
        <is>
          <t>2025-11-12</t>
        </is>
      </c>
      <c r="C476" t="inlineStr">
        <is>
          <t>WL-02955</t>
        </is>
      </c>
      <c r="D476" t="inlineStr">
        <is>
          <t>Amendment with no certificate and no downstream skip events</t>
        </is>
      </c>
      <c r="E476" t="inlineStr">
        <is>
          <t>Priority 2</t>
        </is>
      </c>
    </row>
    <row r="477">
      <c r="A477" t="inlineStr">
        <is>
          <t>AMD-001889</t>
        </is>
      </c>
      <c r="B477" t="inlineStr">
        <is>
          <t>2025-11-15</t>
        </is>
      </c>
      <c r="C477" t="inlineStr">
        <is>
          <t>WL-02128</t>
        </is>
      </c>
      <c r="D477" t="inlineStr">
        <is>
          <t>Amendment with no certificate and no downstream skip events</t>
        </is>
      </c>
      <c r="E477" t="inlineStr">
        <is>
          <t>Priority 2</t>
        </is>
      </c>
    </row>
    <row r="478">
      <c r="A478" t="inlineStr">
        <is>
          <t>AMD-001891</t>
        </is>
      </c>
      <c r="B478" t="inlineStr">
        <is>
          <t>2025-11-17</t>
        </is>
      </c>
      <c r="C478" t="inlineStr">
        <is>
          <t>WL-01077</t>
        </is>
      </c>
      <c r="D478" t="inlineStr">
        <is>
          <t>Amendment with no certificate and no downstream skip events</t>
        </is>
      </c>
      <c r="E478" t="inlineStr">
        <is>
          <t>Priority 2</t>
        </is>
      </c>
    </row>
    <row r="479">
      <c r="A479" t="inlineStr">
        <is>
          <t>AMD-001899</t>
        </is>
      </c>
      <c r="B479" t="inlineStr">
        <is>
          <t>2025-11-23</t>
        </is>
      </c>
      <c r="C479" t="inlineStr">
        <is>
          <t>WL-01534</t>
        </is>
      </c>
      <c r="D479" t="inlineStr">
        <is>
          <t>Amendment with no certificate and no downstream skip events</t>
        </is>
      </c>
      <c r="E479" t="inlineStr">
        <is>
          <t>Priority 2</t>
        </is>
      </c>
    </row>
    <row r="480">
      <c r="A480" t="inlineStr">
        <is>
          <t>AMD-001950</t>
        </is>
      </c>
      <c r="B480" t="inlineStr">
        <is>
          <t>2025-12-29</t>
        </is>
      </c>
      <c r="C480" t="inlineStr">
        <is>
          <t>WL-01569</t>
        </is>
      </c>
      <c r="D480" t="inlineStr">
        <is>
          <t>Amendment with no certificate and no downstream skip events</t>
        </is>
      </c>
      <c r="E480" t="inlineStr">
        <is>
          <t>Priority 2</t>
        </is>
      </c>
    </row>
    <row r="481">
      <c r="A481" t="inlineStr">
        <is>
          <t>AMD-001956</t>
        </is>
      </c>
      <c r="B481" t="inlineStr">
        <is>
          <t>2026-01-04</t>
        </is>
      </c>
      <c r="C481" t="inlineStr">
        <is>
          <t>WL-01484</t>
        </is>
      </c>
      <c r="D481" t="inlineStr">
        <is>
          <t>Amendment with no certificate and no downstream skip events</t>
        </is>
      </c>
      <c r="E481" t="inlineStr">
        <is>
          <t>Priority 2</t>
        </is>
      </c>
    </row>
    <row r="482">
      <c r="A482" t="inlineStr">
        <is>
          <t>AMD-001957</t>
        </is>
      </c>
      <c r="B482" t="inlineStr">
        <is>
          <t>2026-01-05</t>
        </is>
      </c>
      <c r="C482" t="inlineStr">
        <is>
          <t>WL-03475</t>
        </is>
      </c>
      <c r="D482" t="inlineStr">
        <is>
          <t>Amendment with no certificate and no downstream skip events</t>
        </is>
      </c>
      <c r="E482" t="inlineStr">
        <is>
          <t>Priority 2</t>
        </is>
      </c>
    </row>
    <row r="483">
      <c r="A483" t="inlineStr">
        <is>
          <t>AMD-001978</t>
        </is>
      </c>
      <c r="B483" t="inlineStr">
        <is>
          <t>2026-01-24</t>
        </is>
      </c>
      <c r="C483" t="inlineStr">
        <is>
          <t>WL-03468</t>
        </is>
      </c>
      <c r="D483" t="inlineStr">
        <is>
          <t>Amendment with no certificate and no downstream skip events</t>
        </is>
      </c>
      <c r="E483" t="inlineStr">
        <is>
          <t>Priority 2</t>
        </is>
      </c>
    </row>
    <row r="484">
      <c r="A484" t="inlineStr">
        <is>
          <t>AMD-001980</t>
        </is>
      </c>
      <c r="B484" t="inlineStr">
        <is>
          <t>2026-01-25</t>
        </is>
      </c>
      <c r="C484" t="inlineStr">
        <is>
          <t>WL-02245</t>
        </is>
      </c>
      <c r="D484" t="inlineStr">
        <is>
          <t>Amendment with no certificate and no downstream skip events</t>
        </is>
      </c>
      <c r="E484" t="inlineStr">
        <is>
          <t>Priority 2</t>
        </is>
      </c>
    </row>
    <row r="485">
      <c r="A485" t="inlineStr">
        <is>
          <t>AMD-001982</t>
        </is>
      </c>
      <c r="B485" t="inlineStr">
        <is>
          <t>2026-01-27</t>
        </is>
      </c>
      <c r="C485" t="inlineStr">
        <is>
          <t>WL-03045</t>
        </is>
      </c>
      <c r="D485" t="inlineStr">
        <is>
          <t>Amendment with no certificate and no downstream skip events</t>
        </is>
      </c>
      <c r="E485" t="inlineStr">
        <is>
          <t>Priority 2</t>
        </is>
      </c>
    </row>
    <row r="486">
      <c r="A486" t="inlineStr">
        <is>
          <t>AMD-001983</t>
        </is>
      </c>
      <c r="B486" t="inlineStr">
        <is>
          <t>2026-01-27</t>
        </is>
      </c>
      <c r="C486" t="inlineStr">
        <is>
          <t>WL-03716</t>
        </is>
      </c>
      <c r="D486" t="inlineStr">
        <is>
          <t>Amendment with no certificate and no downstream skip events</t>
        </is>
      </c>
      <c r="E486" t="inlineStr">
        <is>
          <t>Priority 2</t>
        </is>
      </c>
    </row>
    <row r="487">
      <c r="A487" t="inlineStr">
        <is>
          <t>AMD-001999</t>
        </is>
      </c>
      <c r="B487" t="inlineStr">
        <is>
          <t>2026-02-09</t>
        </is>
      </c>
      <c r="C487" t="inlineStr">
        <is>
          <t>WL-02586</t>
        </is>
      </c>
      <c r="D487" t="inlineStr">
        <is>
          <t>Amendment with no certificate and no downstream skip events</t>
        </is>
      </c>
      <c r="E487" t="inlineStr">
        <is>
          <t>Priority 2</t>
        </is>
      </c>
    </row>
    <row r="488">
      <c r="A488" t="inlineStr">
        <is>
          <t>AMD-002000</t>
        </is>
      </c>
      <c r="B488" t="inlineStr">
        <is>
          <t>2026-02-09</t>
        </is>
      </c>
      <c r="C488" t="inlineStr">
        <is>
          <t>WL-02699</t>
        </is>
      </c>
      <c r="D488" t="inlineStr">
        <is>
          <t>Amendment with no certificate and no downstream skip events</t>
        </is>
      </c>
      <c r="E488" t="inlineStr">
        <is>
          <t>Priority 2</t>
        </is>
      </c>
    </row>
    <row r="489">
      <c r="A489" t="inlineStr">
        <is>
          <t>AMD-002013</t>
        </is>
      </c>
      <c r="B489" t="inlineStr">
        <is>
          <t>2026-02-18</t>
        </is>
      </c>
      <c r="C489" t="inlineStr">
        <is>
          <t>WL-03474</t>
        </is>
      </c>
      <c r="D489" t="inlineStr">
        <is>
          <t>Amendment with no certificate and no downstream skip events</t>
        </is>
      </c>
      <c r="E489" t="inlineStr">
        <is>
          <t>Priority 2</t>
        </is>
      </c>
    </row>
    <row r="490">
      <c r="A490" t="inlineStr">
        <is>
          <t>AMD-002017</t>
        </is>
      </c>
      <c r="B490" t="inlineStr">
        <is>
          <t>2026-02-20</t>
        </is>
      </c>
      <c r="C490" t="inlineStr">
        <is>
          <t>WL-02175</t>
        </is>
      </c>
      <c r="D490" t="inlineStr">
        <is>
          <t>Amendment with no certificate and no downstream skip events</t>
        </is>
      </c>
      <c r="E490" t="inlineStr">
        <is>
          <t>Priority 2</t>
        </is>
      </c>
    </row>
    <row r="491">
      <c r="A491" t="inlineStr">
        <is>
          <t>AMD-002028</t>
        </is>
      </c>
      <c r="B491" t="inlineStr">
        <is>
          <t>2026-02-28</t>
        </is>
      </c>
      <c r="C491" t="inlineStr">
        <is>
          <t>WL-01114</t>
        </is>
      </c>
      <c r="D491" t="inlineStr">
        <is>
          <t>Amendment with no certificate and no downstream skip events</t>
        </is>
      </c>
      <c r="E491" t="inlineStr">
        <is>
          <t>Priority 2</t>
        </is>
      </c>
    </row>
    <row r="492">
      <c r="A492" t="inlineStr">
        <is>
          <t>AMD-002045</t>
        </is>
      </c>
      <c r="B492" t="inlineStr">
        <is>
          <t>2026-03-14</t>
        </is>
      </c>
      <c r="C492" t="inlineStr">
        <is>
          <t>WL-03265</t>
        </is>
      </c>
      <c r="D492" t="inlineStr">
        <is>
          <t>Amendment with no certificate and no downstream skip events</t>
        </is>
      </c>
      <c r="E492" t="inlineStr">
        <is>
          <t>Priority 2</t>
        </is>
      </c>
    </row>
    <row r="493">
      <c r="A493" t="inlineStr">
        <is>
          <t>AMD-002077</t>
        </is>
      </c>
      <c r="B493" t="inlineStr">
        <is>
          <t>2026-04-04</t>
        </is>
      </c>
      <c r="C493" t="inlineStr">
        <is>
          <t>WL-01342</t>
        </is>
      </c>
      <c r="D493" t="inlineStr">
        <is>
          <t>Amendment with no certificate and no downstream skip events</t>
        </is>
      </c>
      <c r="E493" t="inlineStr">
        <is>
          <t>Priority 2</t>
        </is>
      </c>
    </row>
    <row r="494">
      <c r="A494" t="inlineStr">
        <is>
          <t>AMD-002078</t>
        </is>
      </c>
      <c r="B494" t="inlineStr">
        <is>
          <t>2026-04-05</t>
        </is>
      </c>
      <c r="C494" t="inlineStr">
        <is>
          <t>WL-03368</t>
        </is>
      </c>
      <c r="D494" t="inlineStr">
        <is>
          <t>Amendment with no certificate and no downstream skip events</t>
        </is>
      </c>
      <c r="E494" t="inlineStr">
        <is>
          <t>Priority 2</t>
        </is>
      </c>
    </row>
    <row r="495">
      <c r="A495" t="inlineStr">
        <is>
          <t>AMD-002104</t>
        </is>
      </c>
      <c r="B495" t="inlineStr">
        <is>
          <t>2026-04-21</t>
        </is>
      </c>
      <c r="C495" t="inlineStr">
        <is>
          <t>WL-01601</t>
        </is>
      </c>
      <c r="D495" t="inlineStr">
        <is>
          <t>Amendment with no certificate and no downstream skip events</t>
        </is>
      </c>
      <c r="E495" t="inlineStr">
        <is>
          <t>Priority 2</t>
        </is>
      </c>
    </row>
    <row r="496">
      <c r="A496" t="inlineStr">
        <is>
          <t>AMD-002114</t>
        </is>
      </c>
      <c r="B496" t="inlineStr">
        <is>
          <t>2026-05-01</t>
        </is>
      </c>
      <c r="C496" t="inlineStr">
        <is>
          <t>WL-03764</t>
        </is>
      </c>
      <c r="D496" t="inlineStr">
        <is>
          <t>Amendment with no certificate and no downstream skip events</t>
        </is>
      </c>
      <c r="E496" t="inlineStr">
        <is>
          <t>Priority 2</t>
        </is>
      </c>
    </row>
    <row r="497">
      <c r="A497" t="inlineStr">
        <is>
          <t>AMD-002125</t>
        </is>
      </c>
      <c r="B497" t="inlineStr">
        <is>
          <t>2026-05-05</t>
        </is>
      </c>
      <c r="C497" t="inlineStr">
        <is>
          <t>WL-01438</t>
        </is>
      </c>
      <c r="D497" t="inlineStr">
        <is>
          <t>Amendment with no certificate and no downstream skip events</t>
        </is>
      </c>
      <c r="E497" t="inlineStr">
        <is>
          <t>Priority 2</t>
        </is>
      </c>
    </row>
    <row r="498">
      <c r="A498" t="inlineStr">
        <is>
          <t>AMD-002138</t>
        </is>
      </c>
      <c r="B498" t="inlineStr">
        <is>
          <t>2026-05-13</t>
        </is>
      </c>
      <c r="C498" t="inlineStr">
        <is>
          <t>WL-02868</t>
        </is>
      </c>
      <c r="D498" t="inlineStr">
        <is>
          <t>Amendment with no certificate and no downstream skip events</t>
        </is>
      </c>
      <c r="E498" t="inlineStr">
        <is>
          <t>Priority 2</t>
        </is>
      </c>
    </row>
    <row r="499">
      <c r="A499" t="inlineStr">
        <is>
          <t>AMD-002143</t>
        </is>
      </c>
      <c r="B499" t="inlineStr">
        <is>
          <t>2026-05-17</t>
        </is>
      </c>
      <c r="C499" t="inlineStr">
        <is>
          <t>WL-02332</t>
        </is>
      </c>
      <c r="D499" t="inlineStr">
        <is>
          <t>Amendment with no certificate and no downstream skip events</t>
        </is>
      </c>
      <c r="E499" t="inlineStr">
        <is>
          <t>Priority 2</t>
        </is>
      </c>
    </row>
    <row r="500">
      <c r="A500" t="inlineStr">
        <is>
          <t>AMD-002148</t>
        </is>
      </c>
      <c r="B500" t="inlineStr">
        <is>
          <t>2026-05-24</t>
        </is>
      </c>
      <c r="C500" t="inlineStr">
        <is>
          <t>WL-02874</t>
        </is>
      </c>
      <c r="D500" t="inlineStr">
        <is>
          <t>Amendment with no certificate and no downstream skip events</t>
        </is>
      </c>
      <c r="E500" t="inlineStr">
        <is>
          <t>Priority 2</t>
        </is>
      </c>
    </row>
    <row r="501">
      <c r="A501" t="inlineStr">
        <is>
          <t>AMD-002150</t>
        </is>
      </c>
      <c r="B501" t="inlineStr">
        <is>
          <t>2026-05-25</t>
        </is>
      </c>
      <c r="C501" t="inlineStr">
        <is>
          <t>WL-02829</t>
        </is>
      </c>
      <c r="D501" t="inlineStr">
        <is>
          <t>Amendment with no certificate and no downstream skip events</t>
        </is>
      </c>
      <c r="E501" t="inlineStr">
        <is>
          <t>Priority 2</t>
        </is>
      </c>
    </row>
    <row r="502">
      <c r="A502" t="inlineStr">
        <is>
          <t>AMD-002154</t>
        </is>
      </c>
      <c r="B502" t="inlineStr">
        <is>
          <t>2026-05-28</t>
        </is>
      </c>
      <c r="C502" t="inlineStr">
        <is>
          <t>WL-02807</t>
        </is>
      </c>
      <c r="D502" t="inlineStr">
        <is>
          <t>Amendment with no certificate and no downstream skip events</t>
        </is>
      </c>
      <c r="E502" t="inlineStr">
        <is>
          <t>Priority 2</t>
        </is>
      </c>
    </row>
    <row r="503">
      <c r="A503" t="inlineStr">
        <is>
          <t>AMD-002169</t>
        </is>
      </c>
      <c r="B503" t="inlineStr">
        <is>
          <t>2026-06-07</t>
        </is>
      </c>
      <c r="C503" t="inlineStr">
        <is>
          <t>WL-03472</t>
        </is>
      </c>
      <c r="D503" t="inlineStr">
        <is>
          <t>Amendment with no certificate and no downstream skip events</t>
        </is>
      </c>
      <c r="E503" t="inlineStr">
        <is>
          <t>Priority 2</t>
        </is>
      </c>
    </row>
    <row r="504">
      <c r="A504" t="inlineStr">
        <is>
          <t>AMD-002182</t>
        </is>
      </c>
      <c r="B504" t="inlineStr">
        <is>
          <t>2026-06-18</t>
        </is>
      </c>
      <c r="C504" t="inlineStr">
        <is>
          <t>WL-03878</t>
        </is>
      </c>
      <c r="D504" t="inlineStr">
        <is>
          <t>Amendment with no certificate and no downstream skip events</t>
        </is>
      </c>
      <c r="E504" t="inlineStr">
        <is>
          <t>Priority 2</t>
        </is>
      </c>
    </row>
    <row r="505">
      <c r="A505" t="inlineStr">
        <is>
          <t>AMD-002200</t>
        </is>
      </c>
      <c r="B505" t="inlineStr">
        <is>
          <t>2026-06-28</t>
        </is>
      </c>
      <c r="C505" t="inlineStr">
        <is>
          <t>WL-02118</t>
        </is>
      </c>
      <c r="D505" t="inlineStr">
        <is>
          <t>Amendment with no certificate and no downstream skip events</t>
        </is>
      </c>
      <c r="E505" t="inlineStr">
        <is>
          <t>Priority 2</t>
        </is>
      </c>
    </row>
    <row r="506">
      <c r="A506" t="inlineStr">
        <is>
          <t>AMD-002203</t>
        </is>
      </c>
      <c r="B506" t="inlineStr">
        <is>
          <t>2026-06-30</t>
        </is>
      </c>
      <c r="C506" t="inlineStr">
        <is>
          <t>WL-03088</t>
        </is>
      </c>
      <c r="D506" t="inlineStr">
        <is>
          <t>Amendment with no certificate and no downstream skip events</t>
        </is>
      </c>
      <c r="E506" t="inlineStr">
        <is>
          <t>Priority 2</t>
        </is>
      </c>
    </row>
    <row r="507">
      <c r="A507" t="inlineStr">
        <is>
          <t>AMD-002206</t>
        </is>
      </c>
      <c r="B507" t="inlineStr">
        <is>
          <t>2026-07-02</t>
        </is>
      </c>
      <c r="C507" t="inlineStr">
        <is>
          <t>WL-02573</t>
        </is>
      </c>
      <c r="D507" t="inlineStr">
        <is>
          <t>Amendment with no certificate and no downstream skip events</t>
        </is>
      </c>
      <c r="E507" t="inlineStr">
        <is>
          <t>Priority 2</t>
        </is>
      </c>
    </row>
    <row r="508">
      <c r="A508" t="inlineStr">
        <is>
          <t>AMD-002228</t>
        </is>
      </c>
      <c r="B508" t="inlineStr">
        <is>
          <t>2026-07-19</t>
        </is>
      </c>
      <c r="C508" t="inlineStr">
        <is>
          <t>WL-03808</t>
        </is>
      </c>
      <c r="D508" t="inlineStr">
        <is>
          <t>Amendment with no certificate and no downstream skip events</t>
        </is>
      </c>
      <c r="E508" t="inlineStr">
        <is>
          <t>Priority 2</t>
        </is>
      </c>
    </row>
    <row r="509">
      <c r="A509" t="inlineStr">
        <is>
          <t>AMD-002242</t>
        </is>
      </c>
      <c r="B509" t="inlineStr">
        <is>
          <t>2026-08-17</t>
        </is>
      </c>
      <c r="C509" t="inlineStr">
        <is>
          <t>WL-03688</t>
        </is>
      </c>
      <c r="D509" t="inlineStr">
        <is>
          <t>Amendment with no certificate and no downstream skip events</t>
        </is>
      </c>
      <c r="E509" t="inlineStr">
        <is>
          <t>Priority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Slip ID</t>
        </is>
      </c>
      <c r="B1" t="inlineStr">
        <is>
          <t>Tenant</t>
        </is>
      </c>
      <c r="C1" t="inlineStr">
        <is>
          <t>Vessel LOA (ft)</t>
        </is>
      </c>
      <c r="D1" t="inlineStr">
        <is>
          <t>Slip Size (ft)</t>
        </is>
      </c>
      <c r="E1" t="inlineStr">
        <is>
          <t>Billable Length (ft)</t>
        </is>
      </c>
      <c r="F1" t="inlineStr">
        <is>
          <t>Type</t>
        </is>
      </c>
      <c r="G1" t="inlineStr">
        <is>
          <t>Expected Charge</t>
        </is>
      </c>
      <c r="H1" t="inlineStr">
        <is>
          <t>Actual Charge</t>
        </is>
      </c>
      <c r="I1" t="inlineStr">
        <is>
          <t>Variance</t>
        </is>
      </c>
    </row>
    <row r="2">
      <c r="A2" t="inlineStr">
        <is>
          <t>GW-0502</t>
        </is>
      </c>
      <c r="B2" t="inlineStr">
        <is>
          <t>David Sanders</t>
        </is>
      </c>
      <c r="C2" t="n">
        <v>36.5</v>
      </c>
      <c r="D2" t="n">
        <v>60</v>
      </c>
      <c r="E2">
        <f>MAX(CEILING.MATH(C2, 1), D2)</f>
        <v/>
      </c>
      <c r="F2" t="inlineStr">
        <is>
          <t>OPEN</t>
        </is>
      </c>
      <c r="G2">
        <f>IF(F2="COVERED", E2*10.40, E2*7.55)</f>
        <v/>
      </c>
      <c r="H2" t="n">
        <v>0</v>
      </c>
      <c r="I2">
        <f>H2-G2</f>
        <v/>
      </c>
    </row>
    <row r="3">
      <c r="A3" t="inlineStr">
        <is>
          <t>GW-0503</t>
        </is>
      </c>
      <c r="B3" t="inlineStr">
        <is>
          <t>Ashley Park</t>
        </is>
      </c>
      <c r="C3" t="n">
        <v>43.9</v>
      </c>
      <c r="D3" t="n">
        <v>32</v>
      </c>
      <c r="E3">
        <f>MAX(CEILING.MATH(C3, 1), D3)</f>
        <v/>
      </c>
      <c r="F3" t="inlineStr">
        <is>
          <t>OPEN</t>
        </is>
      </c>
      <c r="G3">
        <f>IF(F3="COVERED", E3*10.40, E3*7.55)</f>
        <v/>
      </c>
      <c r="H3" t="n">
        <v>0</v>
      </c>
      <c r="I3">
        <f>H3-G3</f>
        <v/>
      </c>
    </row>
    <row r="4">
      <c r="A4" t="inlineStr">
        <is>
          <t>GW-0504</t>
        </is>
      </c>
      <c r="B4" t="inlineStr">
        <is>
          <t>Patricia Marquez</t>
        </is>
      </c>
      <c r="C4" t="n">
        <v>25.2</v>
      </c>
      <c r="D4" t="n">
        <v>50</v>
      </c>
      <c r="E4">
        <f>MAX(CEILING.MATH(C4, 1), D4)</f>
        <v/>
      </c>
      <c r="F4" t="inlineStr">
        <is>
          <t>OPEN</t>
        </is>
      </c>
      <c r="G4">
        <f>IF(F4="COVERED", E4*10.40, E4*7.55)</f>
        <v/>
      </c>
      <c r="H4" t="n">
        <v>0</v>
      </c>
      <c r="I4">
        <f>H4-G4</f>
        <v/>
      </c>
    </row>
    <row r="5">
      <c r="A5" t="inlineStr">
        <is>
          <t>GW-0505</t>
        </is>
      </c>
      <c r="B5" t="inlineStr">
        <is>
          <t>Erin Holmes</t>
        </is>
      </c>
      <c r="C5" t="n">
        <v>54.3</v>
      </c>
      <c r="D5" t="n">
        <v>60</v>
      </c>
      <c r="E5">
        <f>MAX(CEILING.MATH(C5, 1), D5)</f>
        <v/>
      </c>
      <c r="F5" t="inlineStr">
        <is>
          <t>OPEN</t>
        </is>
      </c>
      <c r="G5">
        <f>IF(F5="COVERED", E5*10.40, E5*7.55)</f>
        <v/>
      </c>
      <c r="H5" t="n">
        <v>0</v>
      </c>
      <c r="I5">
        <f>H5-G5</f>
        <v/>
      </c>
    </row>
    <row r="6">
      <c r="A6" t="inlineStr">
        <is>
          <t>GW-0506</t>
        </is>
      </c>
      <c r="B6" t="inlineStr">
        <is>
          <t>Kathryn Cook</t>
        </is>
      </c>
      <c r="C6" t="n">
        <v>25.2</v>
      </c>
      <c r="D6" t="n">
        <v>45</v>
      </c>
      <c r="E6">
        <f>MAX(CEILING.MATH(C6, 1), D6)</f>
        <v/>
      </c>
      <c r="F6" t="inlineStr">
        <is>
          <t>OPEN</t>
        </is>
      </c>
      <c r="G6">
        <f>IF(F6="COVERED", E6*10.40, E6*7.55)</f>
        <v/>
      </c>
      <c r="H6" t="n">
        <v>0</v>
      </c>
      <c r="I6">
        <f>H6-G6</f>
        <v/>
      </c>
    </row>
    <row r="7">
      <c r="A7" t="inlineStr">
        <is>
          <t>GW-0507</t>
        </is>
      </c>
      <c r="B7" t="inlineStr">
        <is>
          <t>Jennifer Stout</t>
        </is>
      </c>
      <c r="C7" t="n">
        <v>38.3</v>
      </c>
      <c r="D7" t="n">
        <v>24</v>
      </c>
      <c r="E7">
        <f>MAX(CEILING.MATH(C7, 1), D7)</f>
        <v/>
      </c>
      <c r="F7" t="inlineStr">
        <is>
          <t>OPEN</t>
        </is>
      </c>
      <c r="G7">
        <f>IF(F7="COVERED", E7*10.40, E7*7.55)</f>
        <v/>
      </c>
      <c r="H7" t="n">
        <v>0</v>
      </c>
      <c r="I7">
        <f>H7-G7</f>
        <v/>
      </c>
    </row>
    <row r="8">
      <c r="A8" t="inlineStr">
        <is>
          <t>GW-0508</t>
        </is>
      </c>
      <c r="B8" t="inlineStr">
        <is>
          <t>Warren Wilkins</t>
        </is>
      </c>
      <c r="C8" t="n">
        <v>25.9</v>
      </c>
      <c r="D8" t="n">
        <v>70</v>
      </c>
      <c r="E8">
        <f>MAX(CEILING.MATH(C8, 1), D8)</f>
        <v/>
      </c>
      <c r="F8" t="inlineStr">
        <is>
          <t>OPEN</t>
        </is>
      </c>
      <c r="G8">
        <f>IF(F8="COVERED", E8*10.40, E8*7.55)</f>
        <v/>
      </c>
      <c r="H8" t="n">
        <v>0</v>
      </c>
      <c r="I8">
        <f>H8-G8</f>
        <v/>
      </c>
    </row>
    <row r="9">
      <c r="A9" t="inlineStr">
        <is>
          <t>GW-0509</t>
        </is>
      </c>
      <c r="B9" t="inlineStr">
        <is>
          <t>Teresa Greer</t>
        </is>
      </c>
      <c r="C9" t="n">
        <v>35.6</v>
      </c>
      <c r="D9" t="n">
        <v>45</v>
      </c>
      <c r="E9">
        <f>MAX(CEILING.MATH(C9, 1), D9)</f>
        <v/>
      </c>
      <c r="F9" t="inlineStr">
        <is>
          <t>OPEN</t>
        </is>
      </c>
      <c r="G9">
        <f>IF(F9="COVERED", E9*10.40, E9*7.55)</f>
        <v/>
      </c>
      <c r="H9" t="n">
        <v>0</v>
      </c>
      <c r="I9">
        <f>H9-G9</f>
        <v/>
      </c>
    </row>
    <row r="10">
      <c r="A10" t="inlineStr">
        <is>
          <t>GW-0511</t>
        </is>
      </c>
      <c r="B10" t="inlineStr">
        <is>
          <t>Danny Jones</t>
        </is>
      </c>
      <c r="C10" t="n">
        <v>28.7</v>
      </c>
      <c r="D10" t="n">
        <v>70</v>
      </c>
      <c r="E10">
        <f>MAX(CEILING.MATH(C10, 1), D10)</f>
        <v/>
      </c>
      <c r="F10" t="inlineStr">
        <is>
          <t>OPEN</t>
        </is>
      </c>
      <c r="G10">
        <f>IF(F10="COVERED", E10*10.40, E10*7.55)</f>
        <v/>
      </c>
      <c r="H10" t="n">
        <v>0</v>
      </c>
      <c r="I10">
        <f>H10-G10</f>
        <v/>
      </c>
    </row>
    <row r="11">
      <c r="A11" t="inlineStr">
        <is>
          <t>GW-0512</t>
        </is>
      </c>
      <c r="B11" t="inlineStr">
        <is>
          <t>Seth Raymond</t>
        </is>
      </c>
      <c r="C11" t="n">
        <v>37</v>
      </c>
      <c r="D11" t="n">
        <v>32</v>
      </c>
      <c r="E11">
        <f>MAX(CEILING.MATH(C11, 1), D11)</f>
        <v/>
      </c>
      <c r="F11" t="inlineStr">
        <is>
          <t>OPEN</t>
        </is>
      </c>
      <c r="G11">
        <f>IF(F11="COVERED", E11*10.40, E11*7.55)</f>
        <v/>
      </c>
      <c r="H11" t="n">
        <v>0</v>
      </c>
      <c r="I11">
        <f>H11-G11</f>
        <v/>
      </c>
    </row>
    <row r="12">
      <c r="A12" t="inlineStr">
        <is>
          <t>GW-0513</t>
        </is>
      </c>
      <c r="B12" t="inlineStr">
        <is>
          <t>Karen Davis</t>
        </is>
      </c>
      <c r="C12" t="n">
        <v>51.6</v>
      </c>
      <c r="D12" t="n">
        <v>32</v>
      </c>
      <c r="E12">
        <f>MAX(CEILING.MATH(C12, 1), D12)</f>
        <v/>
      </c>
      <c r="F12" t="inlineStr">
        <is>
          <t>OPEN</t>
        </is>
      </c>
      <c r="G12">
        <f>IF(F12="COVERED", E12*10.40, E12*7.55)</f>
        <v/>
      </c>
      <c r="H12" t="n">
        <v>0</v>
      </c>
      <c r="I12">
        <f>H12-G12</f>
        <v/>
      </c>
    </row>
    <row r="13">
      <c r="A13" t="inlineStr">
        <is>
          <t>GW-0514</t>
        </is>
      </c>
      <c r="B13" t="inlineStr">
        <is>
          <t>Timothy Jennings</t>
        </is>
      </c>
      <c r="C13" t="n">
        <v>32.5</v>
      </c>
      <c r="D13" t="n">
        <v>40</v>
      </c>
      <c r="E13">
        <f>MAX(CEILING.MATH(C13, 1), D13)</f>
        <v/>
      </c>
      <c r="F13" t="inlineStr">
        <is>
          <t>OPEN</t>
        </is>
      </c>
      <c r="G13">
        <f>IF(F13="COVERED", E13*10.40, E13*7.55)</f>
        <v/>
      </c>
      <c r="H13" t="n">
        <v>0</v>
      </c>
      <c r="I13">
        <f>H13-G13</f>
        <v/>
      </c>
    </row>
    <row r="14">
      <c r="A14" t="inlineStr">
        <is>
          <t>GW-0515</t>
        </is>
      </c>
      <c r="B14" t="inlineStr">
        <is>
          <t>Haley Johnson</t>
        </is>
      </c>
      <c r="C14" t="n">
        <v>18.1</v>
      </c>
      <c r="D14" t="n">
        <v>32</v>
      </c>
      <c r="E14">
        <f>MAX(CEILING.MATH(C14, 1), D14)</f>
        <v/>
      </c>
      <c r="F14" t="inlineStr">
        <is>
          <t>OPEN</t>
        </is>
      </c>
      <c r="G14">
        <f>IF(F14="COVERED", E14*10.40, E14*7.55)</f>
        <v/>
      </c>
      <c r="H14" t="n">
        <v>0</v>
      </c>
      <c r="I14">
        <f>H14-G14</f>
        <v/>
      </c>
    </row>
    <row r="15">
      <c r="A15" t="inlineStr">
        <is>
          <t>GW-0516</t>
        </is>
      </c>
      <c r="B15" t="inlineStr">
        <is>
          <t>Sabrina Johnson</t>
        </is>
      </c>
      <c r="C15" t="n">
        <v>52.3</v>
      </c>
      <c r="D15" t="n">
        <v>70</v>
      </c>
      <c r="E15">
        <f>MAX(CEILING.MATH(C15, 1), D15)</f>
        <v/>
      </c>
      <c r="F15" t="inlineStr">
        <is>
          <t>OPEN</t>
        </is>
      </c>
      <c r="G15">
        <f>IF(F15="COVERED", E15*10.40, E15*7.55)</f>
        <v/>
      </c>
      <c r="H15" t="n">
        <v>0</v>
      </c>
      <c r="I15">
        <f>H15-G15</f>
        <v/>
      </c>
    </row>
    <row r="16">
      <c r="A16" t="inlineStr">
        <is>
          <t>GW-0517</t>
        </is>
      </c>
      <c r="B16" t="inlineStr">
        <is>
          <t>Leah Blake</t>
        </is>
      </c>
      <c r="C16" t="n">
        <v>46.9</v>
      </c>
      <c r="D16" t="n">
        <v>24</v>
      </c>
      <c r="E16">
        <f>MAX(CEILING.MATH(C16, 1), D16)</f>
        <v/>
      </c>
      <c r="F16" t="inlineStr">
        <is>
          <t>OPEN</t>
        </is>
      </c>
      <c r="G16">
        <f>IF(F16="COVERED", E16*10.40, E16*7.55)</f>
        <v/>
      </c>
      <c r="H16" t="n">
        <v>0</v>
      </c>
      <c r="I16">
        <f>H16-G16</f>
        <v/>
      </c>
    </row>
    <row r="17">
      <c r="A17" t="inlineStr">
        <is>
          <t>GW-0518</t>
        </is>
      </c>
      <c r="B17" t="inlineStr">
        <is>
          <t>Jeffery Delacruz</t>
        </is>
      </c>
      <c r="C17" t="n">
        <v>54.3</v>
      </c>
      <c r="D17" t="n">
        <v>80</v>
      </c>
      <c r="E17">
        <f>MAX(CEILING.MATH(C17, 1), D17)</f>
        <v/>
      </c>
      <c r="F17" t="inlineStr">
        <is>
          <t>OPEN</t>
        </is>
      </c>
      <c r="G17">
        <f>IF(F17="COVERED", E17*10.40, E17*7.55)</f>
        <v/>
      </c>
      <c r="H17" t="n">
        <v>0</v>
      </c>
      <c r="I17">
        <f>H17-G17</f>
        <v/>
      </c>
    </row>
    <row r="18">
      <c r="A18" t="inlineStr">
        <is>
          <t>GW-0519</t>
        </is>
      </c>
      <c r="B18" t="inlineStr">
        <is>
          <t>Maria Schultz</t>
        </is>
      </c>
      <c r="C18" t="n">
        <v>33.7</v>
      </c>
      <c r="D18" t="n">
        <v>40</v>
      </c>
      <c r="E18">
        <f>MAX(CEILING.MATH(C18, 1), D18)</f>
        <v/>
      </c>
      <c r="F18" t="inlineStr">
        <is>
          <t>OPEN</t>
        </is>
      </c>
      <c r="G18">
        <f>IF(F18="COVERED", E18*10.40, E18*7.55)</f>
        <v/>
      </c>
      <c r="H18" t="n">
        <v>0</v>
      </c>
      <c r="I18">
        <f>H18-G18</f>
        <v/>
      </c>
    </row>
    <row r="19">
      <c r="A19" t="inlineStr">
        <is>
          <t>GW-0520</t>
        </is>
      </c>
      <c r="B19" t="inlineStr">
        <is>
          <t>Derek Kirby</t>
        </is>
      </c>
      <c r="C19" t="n">
        <v>61.4</v>
      </c>
      <c r="D19" t="n">
        <v>70</v>
      </c>
      <c r="E19">
        <f>MAX(CEILING.MATH(C19, 1), D19)</f>
        <v/>
      </c>
      <c r="F19" t="inlineStr">
        <is>
          <t>OPEN</t>
        </is>
      </c>
      <c r="G19">
        <f>IF(F19="COVERED", E19*10.40, E19*7.55)</f>
        <v/>
      </c>
      <c r="H19" t="n">
        <v>0</v>
      </c>
      <c r="I19">
        <f>H19-G19</f>
        <v/>
      </c>
    </row>
    <row r="20">
      <c r="A20" t="inlineStr">
        <is>
          <t>GW-0521</t>
        </is>
      </c>
      <c r="B20" t="inlineStr">
        <is>
          <t>William Brown</t>
        </is>
      </c>
      <c r="C20" t="n">
        <v>19.9</v>
      </c>
      <c r="D20" t="n">
        <v>80</v>
      </c>
      <c r="E20">
        <f>MAX(CEILING.MATH(C20, 1), D20)</f>
        <v/>
      </c>
      <c r="F20" t="inlineStr">
        <is>
          <t>OPEN</t>
        </is>
      </c>
      <c r="G20">
        <f>IF(F20="COVERED", E20*10.40, E20*7.55)</f>
        <v/>
      </c>
      <c r="H20" t="n">
        <v>0</v>
      </c>
      <c r="I20">
        <f>H20-G20</f>
        <v/>
      </c>
    </row>
    <row r="21">
      <c r="A21" t="inlineStr">
        <is>
          <t>GW-0522</t>
        </is>
      </c>
      <c r="B21" t="inlineStr">
        <is>
          <t>Daniel Stevens</t>
        </is>
      </c>
      <c r="C21" t="n">
        <v>46.7</v>
      </c>
      <c r="D21" t="n">
        <v>28</v>
      </c>
      <c r="E21">
        <f>MAX(CEILING.MATH(C21, 1), D21)</f>
        <v/>
      </c>
      <c r="F21" t="inlineStr">
        <is>
          <t>OPEN</t>
        </is>
      </c>
      <c r="G21">
        <f>IF(F21="COVERED", E21*10.40, E21*7.55)</f>
        <v/>
      </c>
      <c r="H21" t="n">
        <v>0</v>
      </c>
      <c r="I21">
        <f>H21-G21</f>
        <v/>
      </c>
    </row>
    <row r="22">
      <c r="A22" t="inlineStr">
        <is>
          <t>GW-0523</t>
        </is>
      </c>
      <c r="B22" t="inlineStr">
        <is>
          <t>Laura French</t>
        </is>
      </c>
      <c r="C22" t="n">
        <v>41.9</v>
      </c>
      <c r="D22" t="n">
        <v>28</v>
      </c>
      <c r="E22">
        <f>MAX(CEILING.MATH(C22, 1), D22)</f>
        <v/>
      </c>
      <c r="F22" t="inlineStr">
        <is>
          <t>OPEN</t>
        </is>
      </c>
      <c r="G22">
        <f>IF(F22="COVERED", E22*10.40, E22*7.55)</f>
        <v/>
      </c>
      <c r="H22" t="n">
        <v>0</v>
      </c>
      <c r="I22">
        <f>H22-G22</f>
        <v/>
      </c>
    </row>
    <row r="23">
      <c r="A23" t="inlineStr">
        <is>
          <t>GW-0601</t>
        </is>
      </c>
      <c r="B23" t="inlineStr">
        <is>
          <t>Alexis Walters</t>
        </is>
      </c>
      <c r="C23" t="n">
        <v>19.1</v>
      </c>
      <c r="D23" t="n">
        <v>32</v>
      </c>
      <c r="E23">
        <f>MAX(CEILING.MATH(C23, 1), D23)</f>
        <v/>
      </c>
      <c r="F23" t="inlineStr">
        <is>
          <t>OPEN</t>
        </is>
      </c>
      <c r="G23">
        <f>IF(F23="COVERED", E23*10.40, E23*7.55)</f>
        <v/>
      </c>
      <c r="H23" t="n">
        <v>0</v>
      </c>
      <c r="I23">
        <f>H23-G23</f>
        <v/>
      </c>
    </row>
    <row r="24">
      <c r="A24" t="inlineStr">
        <is>
          <t>GW-0603</t>
        </is>
      </c>
      <c r="B24" t="inlineStr">
        <is>
          <t>Todd Butler</t>
        </is>
      </c>
      <c r="C24" t="n">
        <v>30.9</v>
      </c>
      <c r="D24" t="n">
        <v>70</v>
      </c>
      <c r="E24">
        <f>MAX(CEILING.MATH(C24, 1), D24)</f>
        <v/>
      </c>
      <c r="F24" t="inlineStr">
        <is>
          <t>OPEN</t>
        </is>
      </c>
      <c r="G24">
        <f>IF(F24="COVERED", E24*10.40, E24*7.55)</f>
        <v/>
      </c>
      <c r="H24" t="n">
        <v>0</v>
      </c>
      <c r="I24">
        <f>H24-G24</f>
        <v/>
      </c>
    </row>
    <row r="25">
      <c r="A25" t="inlineStr">
        <is>
          <t>GW-0604</t>
        </is>
      </c>
      <c r="B25" t="inlineStr">
        <is>
          <t>Henry Okafor</t>
        </is>
      </c>
      <c r="C25" t="n">
        <v>41.2</v>
      </c>
      <c r="D25" t="n">
        <v>70</v>
      </c>
      <c r="E25">
        <f>MAX(CEILING.MATH(C25, 1), D25)</f>
        <v/>
      </c>
      <c r="F25" t="inlineStr">
        <is>
          <t>OPEN</t>
        </is>
      </c>
      <c r="G25">
        <f>IF(F25="COVERED", E25*10.40, E25*7.55)</f>
        <v/>
      </c>
      <c r="H25" t="n">
        <v>0</v>
      </c>
      <c r="I25">
        <f>H25-G25</f>
        <v/>
      </c>
    </row>
    <row r="26">
      <c r="A26" t="inlineStr">
        <is>
          <t>GW-0605</t>
        </is>
      </c>
      <c r="B26" t="inlineStr">
        <is>
          <t>Jose Mckinney</t>
        </is>
      </c>
      <c r="C26" t="n">
        <v>60.9</v>
      </c>
      <c r="D26" t="n">
        <v>24</v>
      </c>
      <c r="E26">
        <f>MAX(CEILING.MATH(C26, 1), D26)</f>
        <v/>
      </c>
      <c r="F26" t="inlineStr">
        <is>
          <t>OPEN</t>
        </is>
      </c>
      <c r="G26">
        <f>IF(F26="COVERED", E26*10.40, E26*7.55)</f>
        <v/>
      </c>
      <c r="H26" t="n">
        <v>0</v>
      </c>
      <c r="I26">
        <f>H26-G26</f>
        <v/>
      </c>
    </row>
    <row r="27">
      <c r="A27" t="inlineStr">
        <is>
          <t>GW-0606</t>
        </is>
      </c>
      <c r="B27" t="inlineStr">
        <is>
          <t>Dale Thomas</t>
        </is>
      </c>
      <c r="C27" t="n">
        <v>31.3</v>
      </c>
      <c r="D27" t="n">
        <v>60</v>
      </c>
      <c r="E27">
        <f>MAX(CEILING.MATH(C27, 1), D27)</f>
        <v/>
      </c>
      <c r="F27" t="inlineStr">
        <is>
          <t>OPEN</t>
        </is>
      </c>
      <c r="G27">
        <f>IF(F27="COVERED", E27*10.40, E27*7.55)</f>
        <v/>
      </c>
      <c r="H27" t="n">
        <v>0</v>
      </c>
      <c r="I27">
        <f>H27-G27</f>
        <v/>
      </c>
    </row>
    <row r="28">
      <c r="A28" t="inlineStr">
        <is>
          <t>GW-0607</t>
        </is>
      </c>
      <c r="B28" t="inlineStr">
        <is>
          <t>William Bennett</t>
        </is>
      </c>
      <c r="C28" t="n">
        <v>29.8</v>
      </c>
      <c r="D28" t="n">
        <v>60</v>
      </c>
      <c r="E28">
        <f>MAX(CEILING.MATH(C28, 1), D28)</f>
        <v/>
      </c>
      <c r="F28" t="inlineStr">
        <is>
          <t>OPEN</t>
        </is>
      </c>
      <c r="G28">
        <f>IF(F28="COVERED", E28*10.40, E28*7.55)</f>
        <v/>
      </c>
      <c r="H28" t="n">
        <v>0</v>
      </c>
      <c r="I28">
        <f>H28-G28</f>
        <v/>
      </c>
    </row>
    <row r="29">
      <c r="A29" t="inlineStr">
        <is>
          <t>GW-0608</t>
        </is>
      </c>
      <c r="B29" t="inlineStr">
        <is>
          <t>Jason Miller</t>
        </is>
      </c>
      <c r="C29" t="n">
        <v>53.7</v>
      </c>
      <c r="D29" t="n">
        <v>70</v>
      </c>
      <c r="E29">
        <f>MAX(CEILING.MATH(C29, 1), D29)</f>
        <v/>
      </c>
      <c r="F29" t="inlineStr">
        <is>
          <t>OPEN</t>
        </is>
      </c>
      <c r="G29">
        <f>IF(F29="COVERED", E29*10.40, E29*7.55)</f>
        <v/>
      </c>
      <c r="H29" t="n">
        <v>0</v>
      </c>
      <c r="I29">
        <f>H29-G29</f>
        <v/>
      </c>
    </row>
    <row r="30">
      <c r="A30" t="inlineStr">
        <is>
          <t>GW-0609</t>
        </is>
      </c>
      <c r="B30" t="inlineStr">
        <is>
          <t>Lori Cook</t>
        </is>
      </c>
      <c r="C30" t="n">
        <v>28.3</v>
      </c>
      <c r="D30" t="n">
        <v>24</v>
      </c>
      <c r="E30">
        <f>MAX(CEILING.MATH(C30, 1), D30)</f>
        <v/>
      </c>
      <c r="F30" t="inlineStr">
        <is>
          <t>OPEN</t>
        </is>
      </c>
      <c r="G30">
        <f>IF(F30="COVERED", E30*10.40, E30*7.55)</f>
        <v/>
      </c>
      <c r="H30" t="n">
        <v>0</v>
      </c>
      <c r="I30">
        <f>H30-G30</f>
        <v/>
      </c>
    </row>
    <row r="31">
      <c r="A31" t="inlineStr">
        <is>
          <t>GW-0610</t>
        </is>
      </c>
      <c r="B31" t="inlineStr">
        <is>
          <t>Cynthia Taylor</t>
        </is>
      </c>
      <c r="C31" t="n">
        <v>41.9</v>
      </c>
      <c r="D31" t="n">
        <v>32</v>
      </c>
      <c r="E31">
        <f>MAX(CEILING.MATH(C31, 1), D31)</f>
        <v/>
      </c>
      <c r="F31" t="inlineStr">
        <is>
          <t>OPEN</t>
        </is>
      </c>
      <c r="G31">
        <f>IF(F31="COVERED", E31*10.40, E31*7.55)</f>
        <v/>
      </c>
      <c r="H31" t="n">
        <v>0</v>
      </c>
      <c r="I31">
        <f>H31-G31</f>
        <v/>
      </c>
    </row>
    <row r="32">
      <c r="A32" t="inlineStr">
        <is>
          <t>GW-0612</t>
        </is>
      </c>
      <c r="B32" t="inlineStr">
        <is>
          <t>William Robles</t>
        </is>
      </c>
      <c r="C32" t="n">
        <v>21</v>
      </c>
      <c r="D32" t="n">
        <v>32</v>
      </c>
      <c r="E32">
        <f>MAX(CEILING.MATH(C32, 1), D32)</f>
        <v/>
      </c>
      <c r="F32" t="inlineStr">
        <is>
          <t>OPEN</t>
        </is>
      </c>
      <c r="G32">
        <f>IF(F32="COVERED", E32*10.40, E32*7.55)</f>
        <v/>
      </c>
      <c r="H32" t="n">
        <v>0</v>
      </c>
      <c r="I32">
        <f>H32-G32</f>
        <v/>
      </c>
    </row>
    <row r="33">
      <c r="A33" t="inlineStr">
        <is>
          <t>GW-0613</t>
        </is>
      </c>
      <c r="B33" t="inlineStr">
        <is>
          <t>Joshua Cherry</t>
        </is>
      </c>
      <c r="C33" t="n">
        <v>30.7</v>
      </c>
      <c r="D33" t="n">
        <v>28</v>
      </c>
      <c r="E33">
        <f>MAX(CEILING.MATH(C33, 1), D33)</f>
        <v/>
      </c>
      <c r="F33" t="inlineStr">
        <is>
          <t>OPEN</t>
        </is>
      </c>
      <c r="G33">
        <f>IF(F33="COVERED", E33*10.40, E33*7.55)</f>
        <v/>
      </c>
      <c r="H33" t="n">
        <v>0</v>
      </c>
      <c r="I33">
        <f>H33-G33</f>
        <v/>
      </c>
    </row>
    <row r="34">
      <c r="A34" t="inlineStr">
        <is>
          <t>GW-0614</t>
        </is>
      </c>
      <c r="B34" t="inlineStr">
        <is>
          <t>Tiffany Russell</t>
        </is>
      </c>
      <c r="C34" t="n">
        <v>55.7</v>
      </c>
      <c r="D34" t="n">
        <v>32</v>
      </c>
      <c r="E34">
        <f>MAX(CEILING.MATH(C34, 1), D34)</f>
        <v/>
      </c>
      <c r="F34" t="inlineStr">
        <is>
          <t>OPEN</t>
        </is>
      </c>
      <c r="G34">
        <f>IF(F34="COVERED", E34*10.40, E34*7.55)</f>
        <v/>
      </c>
      <c r="H34" t="n">
        <v>0</v>
      </c>
      <c r="I34">
        <f>H34-G34</f>
        <v/>
      </c>
    </row>
    <row r="35">
      <c r="A35" t="inlineStr">
        <is>
          <t>GW-0615</t>
        </is>
      </c>
      <c r="B35" t="inlineStr">
        <is>
          <t>Larry Carr</t>
        </is>
      </c>
      <c r="C35" t="n">
        <v>58.3</v>
      </c>
      <c r="D35" t="n">
        <v>24</v>
      </c>
      <c r="E35">
        <f>MAX(CEILING.MATH(C35, 1), D35)</f>
        <v/>
      </c>
      <c r="F35" t="inlineStr">
        <is>
          <t>OPEN</t>
        </is>
      </c>
      <c r="G35">
        <f>IF(F35="COVERED", E35*10.40, E35*7.55)</f>
        <v/>
      </c>
      <c r="H35" t="n">
        <v>0</v>
      </c>
      <c r="I35">
        <f>H35-G35</f>
        <v/>
      </c>
    </row>
    <row r="36">
      <c r="A36" t="inlineStr">
        <is>
          <t>GW-0617</t>
        </is>
      </c>
      <c r="B36" t="inlineStr">
        <is>
          <t>Sierra Washington</t>
        </is>
      </c>
      <c r="C36" t="n">
        <v>50.2</v>
      </c>
      <c r="D36" t="n">
        <v>32</v>
      </c>
      <c r="E36">
        <f>MAX(CEILING.MATH(C36, 1), D36)</f>
        <v/>
      </c>
      <c r="F36" t="inlineStr">
        <is>
          <t>OPEN</t>
        </is>
      </c>
      <c r="G36">
        <f>IF(F36="COVERED", E36*10.40, E36*7.55)</f>
        <v/>
      </c>
      <c r="H36" t="n">
        <v>0</v>
      </c>
      <c r="I36">
        <f>H36-G36</f>
        <v/>
      </c>
    </row>
    <row r="37">
      <c r="A37" t="inlineStr">
        <is>
          <t>GW-0618</t>
        </is>
      </c>
      <c r="B37" t="inlineStr">
        <is>
          <t>Juan Ray</t>
        </is>
      </c>
      <c r="C37" t="n">
        <v>30.5</v>
      </c>
      <c r="D37" t="n">
        <v>24</v>
      </c>
      <c r="E37">
        <f>MAX(CEILING.MATH(C37, 1), D37)</f>
        <v/>
      </c>
      <c r="F37" t="inlineStr">
        <is>
          <t>OPEN</t>
        </is>
      </c>
      <c r="G37">
        <f>IF(F37="COVERED", E37*10.40, E37*7.55)</f>
        <v/>
      </c>
      <c r="H37" t="n">
        <v>0</v>
      </c>
      <c r="I37">
        <f>H37-G37</f>
        <v/>
      </c>
    </row>
    <row r="38">
      <c r="A38" t="inlineStr">
        <is>
          <t>GW-0619</t>
        </is>
      </c>
      <c r="B38" t="inlineStr">
        <is>
          <t>Randy Ramos</t>
        </is>
      </c>
      <c r="C38" t="n">
        <v>28.6</v>
      </c>
      <c r="D38" t="n">
        <v>45</v>
      </c>
      <c r="E38">
        <f>MAX(CEILING.MATH(C38, 1), D38)</f>
        <v/>
      </c>
      <c r="F38" t="inlineStr">
        <is>
          <t>OPEN</t>
        </is>
      </c>
      <c r="G38">
        <f>IF(F38="COVERED", E38*10.40, E38*7.55)</f>
        <v/>
      </c>
      <c r="H38" t="n">
        <v>0</v>
      </c>
      <c r="I38">
        <f>H38-G38</f>
        <v/>
      </c>
    </row>
    <row r="39">
      <c r="A39" t="inlineStr">
        <is>
          <t>GW-0620</t>
        </is>
      </c>
      <c r="B39" t="inlineStr">
        <is>
          <t>Cody Rose</t>
        </is>
      </c>
      <c r="C39" t="n">
        <v>39.9</v>
      </c>
      <c r="D39" t="n">
        <v>70</v>
      </c>
      <c r="E39">
        <f>MAX(CEILING.MATH(C39, 1), D39)</f>
        <v/>
      </c>
      <c r="F39" t="inlineStr">
        <is>
          <t>OPEN</t>
        </is>
      </c>
      <c r="G39">
        <f>IF(F39="COVERED", E39*10.40, E39*7.55)</f>
        <v/>
      </c>
      <c r="H39" t="n">
        <v>0</v>
      </c>
      <c r="I39">
        <f>H39-G39</f>
        <v/>
      </c>
    </row>
    <row r="40">
      <c r="A40" t="inlineStr">
        <is>
          <t>GW-0621</t>
        </is>
      </c>
      <c r="B40" t="inlineStr">
        <is>
          <t>Roger Johnson</t>
        </is>
      </c>
      <c r="C40" t="n">
        <v>36.1</v>
      </c>
      <c r="D40" t="n">
        <v>28</v>
      </c>
      <c r="E40">
        <f>MAX(CEILING.MATH(C40, 1), D40)</f>
        <v/>
      </c>
      <c r="F40" t="inlineStr">
        <is>
          <t>OPEN</t>
        </is>
      </c>
      <c r="G40">
        <f>IF(F40="COVERED", E40*10.40, E40*7.55)</f>
        <v/>
      </c>
      <c r="H40" t="n">
        <v>0</v>
      </c>
      <c r="I40">
        <f>H40-G40</f>
        <v/>
      </c>
    </row>
    <row r="41">
      <c r="A41" t="inlineStr">
        <is>
          <t>GW-0622</t>
        </is>
      </c>
      <c r="B41" t="inlineStr">
        <is>
          <t>Ryan Gilmore</t>
        </is>
      </c>
      <c r="C41" t="n">
        <v>53.2</v>
      </c>
      <c r="D41" t="n">
        <v>60</v>
      </c>
      <c r="E41">
        <f>MAX(CEILING.MATH(C41, 1), D41)</f>
        <v/>
      </c>
      <c r="F41" t="inlineStr">
        <is>
          <t>OPEN</t>
        </is>
      </c>
      <c r="G41">
        <f>IF(F41="COVERED", E41*10.40, E41*7.55)</f>
        <v/>
      </c>
      <c r="H41" t="n">
        <v>0</v>
      </c>
      <c r="I41">
        <f>H41-G41</f>
        <v/>
      </c>
    </row>
    <row r="42">
      <c r="A42" t="inlineStr">
        <is>
          <t>GW-0623</t>
        </is>
      </c>
      <c r="B42" t="inlineStr">
        <is>
          <t>Anna Wu</t>
        </is>
      </c>
      <c r="C42" t="n">
        <v>34.2</v>
      </c>
      <c r="D42" t="n">
        <v>70</v>
      </c>
      <c r="E42">
        <f>MAX(CEILING.MATH(C42, 1), D42)</f>
        <v/>
      </c>
      <c r="F42" t="inlineStr">
        <is>
          <t>OPEN</t>
        </is>
      </c>
      <c r="G42">
        <f>IF(F42="COVERED", E42*10.40, E42*7.55)</f>
        <v/>
      </c>
      <c r="H42" t="n">
        <v>0</v>
      </c>
      <c r="I42">
        <f>H42-G42</f>
        <v/>
      </c>
    </row>
    <row r="43">
      <c r="A43" t="inlineStr">
        <is>
          <t>GW-0702</t>
        </is>
      </c>
      <c r="B43" t="inlineStr">
        <is>
          <t>John Howard</t>
        </is>
      </c>
      <c r="C43" t="n">
        <v>36.4</v>
      </c>
      <c r="D43" t="n">
        <v>32</v>
      </c>
      <c r="E43">
        <f>MAX(CEILING.MATH(C43, 1), D43)</f>
        <v/>
      </c>
      <c r="F43" t="inlineStr">
        <is>
          <t>OPEN</t>
        </is>
      </c>
      <c r="G43">
        <f>IF(F43="COVERED", E43*10.40, E43*7.55)</f>
        <v/>
      </c>
      <c r="H43" t="n">
        <v>0</v>
      </c>
      <c r="I43">
        <f>H43-G43</f>
        <v/>
      </c>
    </row>
    <row r="44">
      <c r="A44" t="inlineStr">
        <is>
          <t>GW-0703</t>
        </is>
      </c>
      <c r="B44" t="inlineStr">
        <is>
          <t>Valerie Nelson</t>
        </is>
      </c>
      <c r="C44" t="n">
        <v>53.6</v>
      </c>
      <c r="D44" t="n">
        <v>32</v>
      </c>
      <c r="E44">
        <f>MAX(CEILING.MATH(C44, 1), D44)</f>
        <v/>
      </c>
      <c r="F44" t="inlineStr">
        <is>
          <t>OPEN</t>
        </is>
      </c>
      <c r="G44">
        <f>IF(F44="COVERED", E44*10.40, E44*7.55)</f>
        <v/>
      </c>
      <c r="H44" t="n">
        <v>0</v>
      </c>
      <c r="I44">
        <f>H44-G44</f>
        <v/>
      </c>
    </row>
    <row r="45">
      <c r="A45" t="inlineStr">
        <is>
          <t>GW-0704</t>
        </is>
      </c>
      <c r="B45" t="inlineStr">
        <is>
          <t>Jared Mosley</t>
        </is>
      </c>
      <c r="C45" t="n">
        <v>43.6</v>
      </c>
      <c r="D45" t="n">
        <v>50</v>
      </c>
      <c r="E45">
        <f>MAX(CEILING.MATH(C45, 1), D45)</f>
        <v/>
      </c>
      <c r="F45" t="inlineStr">
        <is>
          <t>OPEN</t>
        </is>
      </c>
      <c r="G45">
        <f>IF(F45="COVERED", E45*10.40, E45*7.55)</f>
        <v/>
      </c>
      <c r="H45" t="n">
        <v>0</v>
      </c>
      <c r="I45">
        <f>H45-G45</f>
        <v/>
      </c>
    </row>
    <row r="46">
      <c r="A46" t="inlineStr">
        <is>
          <t>GW-0705</t>
        </is>
      </c>
      <c r="B46" t="inlineStr">
        <is>
          <t>Danielle Mckinney</t>
        </is>
      </c>
      <c r="C46" t="n">
        <v>58.6</v>
      </c>
      <c r="D46" t="n">
        <v>24</v>
      </c>
      <c r="E46">
        <f>MAX(CEILING.MATH(C46, 1), D46)</f>
        <v/>
      </c>
      <c r="F46" t="inlineStr">
        <is>
          <t>OPEN</t>
        </is>
      </c>
      <c r="G46">
        <f>IF(F46="COVERED", E46*10.40, E46*7.55)</f>
        <v/>
      </c>
      <c r="H46" t="n">
        <v>0</v>
      </c>
      <c r="I46">
        <f>H46-G46</f>
        <v/>
      </c>
    </row>
    <row r="47">
      <c r="A47" t="inlineStr">
        <is>
          <t>GW-0706</t>
        </is>
      </c>
      <c r="B47" t="inlineStr">
        <is>
          <t>Molly Holland</t>
        </is>
      </c>
      <c r="C47" t="n">
        <v>33.4</v>
      </c>
      <c r="D47" t="n">
        <v>80</v>
      </c>
      <c r="E47">
        <f>MAX(CEILING.MATH(C47, 1), D47)</f>
        <v/>
      </c>
      <c r="F47" t="inlineStr">
        <is>
          <t>OPEN</t>
        </is>
      </c>
      <c r="G47">
        <f>IF(F47="COVERED", E47*10.40, E47*7.55)</f>
        <v/>
      </c>
      <c r="H47" t="n">
        <v>0</v>
      </c>
      <c r="I47">
        <f>H47-G47</f>
        <v/>
      </c>
    </row>
    <row r="48">
      <c r="A48" t="inlineStr">
        <is>
          <t>GW-0707</t>
        </is>
      </c>
      <c r="B48" t="inlineStr">
        <is>
          <t>Michael Gardner</t>
        </is>
      </c>
      <c r="C48" t="n">
        <v>39.3</v>
      </c>
      <c r="D48" t="n">
        <v>24</v>
      </c>
      <c r="E48">
        <f>MAX(CEILING.MATH(C48, 1), D48)</f>
        <v/>
      </c>
      <c r="F48" t="inlineStr">
        <is>
          <t>OPEN</t>
        </is>
      </c>
      <c r="G48">
        <f>IF(F48="COVERED", E48*10.40, E48*7.55)</f>
        <v/>
      </c>
      <c r="H48" t="n">
        <v>0</v>
      </c>
      <c r="I48">
        <f>H48-G48</f>
        <v/>
      </c>
    </row>
    <row r="49">
      <c r="A49" t="inlineStr">
        <is>
          <t>GW-0708</t>
        </is>
      </c>
      <c r="B49" t="inlineStr">
        <is>
          <t>Angela Whitehead</t>
        </is>
      </c>
      <c r="C49" t="n">
        <v>28.7</v>
      </c>
      <c r="D49" t="n">
        <v>70</v>
      </c>
      <c r="E49">
        <f>MAX(CEILING.MATH(C49, 1), D49)</f>
        <v/>
      </c>
      <c r="F49" t="inlineStr">
        <is>
          <t>OPEN</t>
        </is>
      </c>
      <c r="G49">
        <f>IF(F49="COVERED", E49*10.40, E49*7.55)</f>
        <v/>
      </c>
      <c r="H49" t="n">
        <v>0</v>
      </c>
      <c r="I49">
        <f>H49-G49</f>
        <v/>
      </c>
    </row>
    <row r="50">
      <c r="A50" t="inlineStr">
        <is>
          <t>GW-0710</t>
        </is>
      </c>
      <c r="B50" t="inlineStr">
        <is>
          <t>Kyle Estes</t>
        </is>
      </c>
      <c r="C50" t="n">
        <v>43.8</v>
      </c>
      <c r="D50" t="n">
        <v>36</v>
      </c>
      <c r="E50">
        <f>MAX(CEILING.MATH(C50, 1), D50)</f>
        <v/>
      </c>
      <c r="F50" t="inlineStr">
        <is>
          <t>OPEN</t>
        </is>
      </c>
      <c r="G50">
        <f>IF(F50="COVERED", E50*10.40, E50*7.55)</f>
        <v/>
      </c>
      <c r="H50" t="n">
        <v>0</v>
      </c>
      <c r="I50">
        <f>H50-G50</f>
        <v/>
      </c>
    </row>
    <row r="51">
      <c r="A51" t="inlineStr">
        <is>
          <t>GW-0711</t>
        </is>
      </c>
      <c r="B51" t="inlineStr">
        <is>
          <t>Holly Kennedy</t>
        </is>
      </c>
      <c r="C51" t="n">
        <v>40.5</v>
      </c>
      <c r="D51" t="n">
        <v>45</v>
      </c>
      <c r="E51">
        <f>MAX(CEILING.MATH(C51, 1), D51)</f>
        <v/>
      </c>
      <c r="F51" t="inlineStr">
        <is>
          <t>OPEN</t>
        </is>
      </c>
      <c r="G51">
        <f>IF(F51="COVERED", E51*10.40, E51*7.55)</f>
        <v/>
      </c>
      <c r="H51" t="n">
        <v>0</v>
      </c>
      <c r="I51">
        <f>H51-G51</f>
        <v/>
      </c>
    </row>
    <row r="52">
      <c r="A52" t="inlineStr">
        <is>
          <t>GW-0712</t>
        </is>
      </c>
      <c r="B52" t="inlineStr">
        <is>
          <t>Ashley Green</t>
        </is>
      </c>
      <c r="C52" t="n">
        <v>48.3</v>
      </c>
      <c r="D52" t="n">
        <v>45</v>
      </c>
      <c r="E52">
        <f>MAX(CEILING.MATH(C52, 1), D52)</f>
        <v/>
      </c>
      <c r="F52" t="inlineStr">
        <is>
          <t>OPEN</t>
        </is>
      </c>
      <c r="G52">
        <f>IF(F52="COVERED", E52*10.40, E52*7.55)</f>
        <v/>
      </c>
      <c r="H52" t="n">
        <v>0</v>
      </c>
      <c r="I52">
        <f>H52-G52</f>
        <v/>
      </c>
    </row>
    <row r="53">
      <c r="A53" t="inlineStr">
        <is>
          <t>GW-0713</t>
        </is>
      </c>
      <c r="B53" t="inlineStr">
        <is>
          <t>Dana Becker</t>
        </is>
      </c>
      <c r="C53" t="n">
        <v>45</v>
      </c>
      <c r="D53" t="n">
        <v>80</v>
      </c>
      <c r="E53">
        <f>MAX(CEILING.MATH(C53, 1), D53)</f>
        <v/>
      </c>
      <c r="F53" t="inlineStr">
        <is>
          <t>OPEN</t>
        </is>
      </c>
      <c r="G53">
        <f>IF(F53="COVERED", E53*10.40, E53*7.55)</f>
        <v/>
      </c>
      <c r="H53" t="n">
        <v>0</v>
      </c>
      <c r="I53">
        <f>H53-G53</f>
        <v/>
      </c>
    </row>
    <row r="54">
      <c r="A54" t="inlineStr">
        <is>
          <t>GW-0714</t>
        </is>
      </c>
      <c r="B54" t="inlineStr">
        <is>
          <t>Brian Green</t>
        </is>
      </c>
      <c r="C54" t="n">
        <v>40.5</v>
      </c>
      <c r="D54" t="n">
        <v>28</v>
      </c>
      <c r="E54">
        <f>MAX(CEILING.MATH(C54, 1), D54)</f>
        <v/>
      </c>
      <c r="F54" t="inlineStr">
        <is>
          <t>OPEN</t>
        </is>
      </c>
      <c r="G54">
        <f>IF(F54="COVERED", E54*10.40, E54*7.55)</f>
        <v/>
      </c>
      <c r="H54" t="n">
        <v>0</v>
      </c>
      <c r="I54">
        <f>H54-G54</f>
        <v/>
      </c>
    </row>
    <row r="55">
      <c r="A55" t="inlineStr">
        <is>
          <t>GW-0715</t>
        </is>
      </c>
      <c r="B55" t="inlineStr">
        <is>
          <t>Timothy Soto</t>
        </is>
      </c>
      <c r="C55" t="n">
        <v>34.6</v>
      </c>
      <c r="D55" t="n">
        <v>24</v>
      </c>
      <c r="E55">
        <f>MAX(CEILING.MATH(C55, 1), D55)</f>
        <v/>
      </c>
      <c r="F55" t="inlineStr">
        <is>
          <t>OPEN</t>
        </is>
      </c>
      <c r="G55">
        <f>IF(F55="COVERED", E55*10.40, E55*7.55)</f>
        <v/>
      </c>
      <c r="H55" t="n">
        <v>0</v>
      </c>
      <c r="I55">
        <f>H55-G55</f>
        <v/>
      </c>
    </row>
    <row r="56">
      <c r="A56" t="inlineStr">
        <is>
          <t>GW-0716</t>
        </is>
      </c>
      <c r="B56" t="inlineStr">
        <is>
          <t>John Hammond</t>
        </is>
      </c>
      <c r="C56" t="n">
        <v>27.9</v>
      </c>
      <c r="D56" t="n">
        <v>24</v>
      </c>
      <c r="E56">
        <f>MAX(CEILING.MATH(C56, 1), D56)</f>
        <v/>
      </c>
      <c r="F56" t="inlineStr">
        <is>
          <t>OPEN</t>
        </is>
      </c>
      <c r="G56">
        <f>IF(F56="COVERED", E56*10.40, E56*7.55)</f>
        <v/>
      </c>
      <c r="H56" t="n">
        <v>0</v>
      </c>
      <c r="I56">
        <f>H56-G56</f>
        <v/>
      </c>
    </row>
    <row r="57">
      <c r="A57" t="inlineStr">
        <is>
          <t>GW-0717</t>
        </is>
      </c>
      <c r="B57" t="inlineStr">
        <is>
          <t>Dennis Shepard</t>
        </is>
      </c>
      <c r="C57" t="n">
        <v>49.7</v>
      </c>
      <c r="D57" t="n">
        <v>60</v>
      </c>
      <c r="E57">
        <f>MAX(CEILING.MATH(C57, 1), D57)</f>
        <v/>
      </c>
      <c r="F57" t="inlineStr">
        <is>
          <t>OPEN</t>
        </is>
      </c>
      <c r="G57">
        <f>IF(F57="COVERED", E57*10.40, E57*7.55)</f>
        <v/>
      </c>
      <c r="H57" t="n">
        <v>0</v>
      </c>
      <c r="I57">
        <f>H57-G57</f>
        <v/>
      </c>
    </row>
    <row r="58">
      <c r="A58" t="inlineStr">
        <is>
          <t>GW-0719</t>
        </is>
      </c>
      <c r="B58" t="inlineStr">
        <is>
          <t>Paul Brady</t>
        </is>
      </c>
      <c r="C58" t="n">
        <v>42</v>
      </c>
      <c r="D58" t="n">
        <v>50</v>
      </c>
      <c r="E58">
        <f>MAX(CEILING.MATH(C58, 1), D58)</f>
        <v/>
      </c>
      <c r="F58" t="inlineStr">
        <is>
          <t>OPEN</t>
        </is>
      </c>
      <c r="G58">
        <f>IF(F58="COVERED", E58*10.40, E58*7.55)</f>
        <v/>
      </c>
      <c r="H58" t="n">
        <v>0</v>
      </c>
      <c r="I58">
        <f>H58-G58</f>
        <v/>
      </c>
    </row>
    <row r="59">
      <c r="A59" t="inlineStr">
        <is>
          <t>GW-0720</t>
        </is>
      </c>
      <c r="B59" t="inlineStr">
        <is>
          <t>Karla Thomas</t>
        </is>
      </c>
      <c r="C59" t="n">
        <v>37.4</v>
      </c>
      <c r="D59" t="n">
        <v>50</v>
      </c>
      <c r="E59">
        <f>MAX(CEILING.MATH(C59, 1), D59)</f>
        <v/>
      </c>
      <c r="F59" t="inlineStr">
        <is>
          <t>OPEN</t>
        </is>
      </c>
      <c r="G59">
        <f>IF(F59="COVERED", E59*10.40, E59*7.55)</f>
        <v/>
      </c>
      <c r="H59" t="n">
        <v>0</v>
      </c>
      <c r="I59">
        <f>H59-G59</f>
        <v/>
      </c>
    </row>
    <row r="60">
      <c r="A60" t="inlineStr">
        <is>
          <t>GW-0721</t>
        </is>
      </c>
      <c r="B60" t="inlineStr">
        <is>
          <t>Eric Simmons</t>
        </is>
      </c>
      <c r="C60" t="n">
        <v>59.7</v>
      </c>
      <c r="D60" t="n">
        <v>50</v>
      </c>
      <c r="E60">
        <f>MAX(CEILING.MATH(C60, 1), D60)</f>
        <v/>
      </c>
      <c r="F60" t="inlineStr">
        <is>
          <t>OPEN</t>
        </is>
      </c>
      <c r="G60">
        <f>IF(F60="COVERED", E60*10.40, E60*7.55)</f>
        <v/>
      </c>
      <c r="H60" t="n">
        <v>0</v>
      </c>
      <c r="I60">
        <f>H60-G60</f>
        <v/>
      </c>
    </row>
    <row r="61">
      <c r="A61" t="inlineStr">
        <is>
          <t>GW-0722</t>
        </is>
      </c>
      <c r="B61" t="inlineStr">
        <is>
          <t>Rachel Smith</t>
        </is>
      </c>
      <c r="C61" t="n">
        <v>39.4</v>
      </c>
      <c r="D61" t="n">
        <v>32</v>
      </c>
      <c r="E61">
        <f>MAX(CEILING.MATH(C61, 1), D61)</f>
        <v/>
      </c>
      <c r="F61" t="inlineStr">
        <is>
          <t>OPEN</t>
        </is>
      </c>
      <c r="G61">
        <f>IF(F61="COVERED", E61*10.40, E61*7.55)</f>
        <v/>
      </c>
      <c r="H61" t="n">
        <v>0</v>
      </c>
      <c r="I61">
        <f>H61-G61</f>
        <v/>
      </c>
    </row>
    <row r="62">
      <c r="A62" t="inlineStr">
        <is>
          <t>GW-0723</t>
        </is>
      </c>
      <c r="B62" t="inlineStr">
        <is>
          <t>Brian White</t>
        </is>
      </c>
      <c r="C62" t="n">
        <v>37</v>
      </c>
      <c r="D62" t="n">
        <v>45</v>
      </c>
      <c r="E62">
        <f>MAX(CEILING.MATH(C62, 1), D62)</f>
        <v/>
      </c>
      <c r="F62" t="inlineStr">
        <is>
          <t>OPEN</t>
        </is>
      </c>
      <c r="G62">
        <f>IF(F62="COVERED", E62*10.40, E62*7.55)</f>
        <v/>
      </c>
      <c r="H62" t="n">
        <v>0</v>
      </c>
      <c r="I62">
        <f>H62-G62</f>
        <v/>
      </c>
    </row>
    <row r="63">
      <c r="A63" t="inlineStr">
        <is>
          <t>GW-0802</t>
        </is>
      </c>
      <c r="B63" t="inlineStr">
        <is>
          <t>Bobby Peterson</t>
        </is>
      </c>
      <c r="C63" t="n">
        <v>46.2</v>
      </c>
      <c r="D63" t="n">
        <v>45</v>
      </c>
      <c r="E63">
        <f>MAX(CEILING.MATH(C63, 1), D63)</f>
        <v/>
      </c>
      <c r="F63" t="inlineStr">
        <is>
          <t>OPEN</t>
        </is>
      </c>
      <c r="G63">
        <f>IF(F63="COVERED", E63*10.40, E63*7.55)</f>
        <v/>
      </c>
      <c r="H63" t="n">
        <v>0</v>
      </c>
      <c r="I63">
        <f>H63-G63</f>
        <v/>
      </c>
    </row>
    <row r="64">
      <c r="A64" t="inlineStr">
        <is>
          <t>GW-0803</t>
        </is>
      </c>
      <c r="B64" t="inlineStr">
        <is>
          <t>Stacy Wilkins</t>
        </is>
      </c>
      <c r="C64" t="n">
        <v>59.8</v>
      </c>
      <c r="D64" t="n">
        <v>45</v>
      </c>
      <c r="E64">
        <f>MAX(CEILING.MATH(C64, 1), D64)</f>
        <v/>
      </c>
      <c r="F64" t="inlineStr">
        <is>
          <t>OPEN</t>
        </is>
      </c>
      <c r="G64">
        <f>IF(F64="COVERED", E64*10.40, E64*7.55)</f>
        <v/>
      </c>
      <c r="H64" t="n">
        <v>0</v>
      </c>
      <c r="I64">
        <f>H64-G64</f>
        <v/>
      </c>
    </row>
    <row r="65">
      <c r="A65" t="inlineStr">
        <is>
          <t>GW-0804</t>
        </is>
      </c>
      <c r="B65" t="inlineStr">
        <is>
          <t>Sara Fox</t>
        </is>
      </c>
      <c r="C65" t="n">
        <v>31.6</v>
      </c>
      <c r="D65" t="n">
        <v>40</v>
      </c>
      <c r="E65">
        <f>MAX(CEILING.MATH(C65, 1), D65)</f>
        <v/>
      </c>
      <c r="F65" t="inlineStr">
        <is>
          <t>OPEN</t>
        </is>
      </c>
      <c r="G65">
        <f>IF(F65="COVERED", E65*10.40, E65*7.55)</f>
        <v/>
      </c>
      <c r="H65" t="n">
        <v>0</v>
      </c>
      <c r="I65">
        <f>H65-G65</f>
        <v/>
      </c>
    </row>
    <row r="66">
      <c r="A66" t="inlineStr">
        <is>
          <t>GW-0805</t>
        </is>
      </c>
      <c r="B66" t="inlineStr">
        <is>
          <t>Kristen Pittman</t>
        </is>
      </c>
      <c r="C66" t="n">
        <v>38.3</v>
      </c>
      <c r="D66" t="n">
        <v>28</v>
      </c>
      <c r="E66">
        <f>MAX(CEILING.MATH(C66, 1), D66)</f>
        <v/>
      </c>
      <c r="F66" t="inlineStr">
        <is>
          <t>OPEN</t>
        </is>
      </c>
      <c r="G66">
        <f>IF(F66="COVERED", E66*10.40, E66*7.55)</f>
        <v/>
      </c>
      <c r="H66" t="n">
        <v>0</v>
      </c>
      <c r="I66">
        <f>H66-G66</f>
        <v/>
      </c>
    </row>
    <row r="67">
      <c r="A67" t="inlineStr">
        <is>
          <t>GW-0806</t>
        </is>
      </c>
      <c r="B67" t="inlineStr">
        <is>
          <t>Dale Martin</t>
        </is>
      </c>
      <c r="C67" t="n">
        <v>55.4</v>
      </c>
      <c r="D67" t="n">
        <v>36</v>
      </c>
      <c r="E67">
        <f>MAX(CEILING.MATH(C67, 1), D67)</f>
        <v/>
      </c>
      <c r="F67" t="inlineStr">
        <is>
          <t>OPEN</t>
        </is>
      </c>
      <c r="G67">
        <f>IF(F67="COVERED", E67*10.40, E67*7.55)</f>
        <v/>
      </c>
      <c r="H67" t="n">
        <v>0</v>
      </c>
      <c r="I67">
        <f>H67-G67</f>
        <v/>
      </c>
    </row>
    <row r="68">
      <c r="A68" t="inlineStr">
        <is>
          <t>GW-0807</t>
        </is>
      </c>
      <c r="B68" t="inlineStr">
        <is>
          <t>Ryan Jones</t>
        </is>
      </c>
      <c r="C68" t="n">
        <v>57.4</v>
      </c>
      <c r="D68" t="n">
        <v>45</v>
      </c>
      <c r="E68">
        <f>MAX(CEILING.MATH(C68, 1), D68)</f>
        <v/>
      </c>
      <c r="F68" t="inlineStr">
        <is>
          <t>OPEN</t>
        </is>
      </c>
      <c r="G68">
        <f>IF(F68="COVERED", E68*10.40, E68*7.55)</f>
        <v/>
      </c>
      <c r="H68" t="n">
        <v>0</v>
      </c>
      <c r="I68">
        <f>H68-G68</f>
        <v/>
      </c>
    </row>
    <row r="69">
      <c r="A69" t="inlineStr">
        <is>
          <t>GW-0808</t>
        </is>
      </c>
      <c r="B69" t="inlineStr">
        <is>
          <t>Fred Powell</t>
        </is>
      </c>
      <c r="C69" t="n">
        <v>43.1</v>
      </c>
      <c r="D69" t="n">
        <v>28</v>
      </c>
      <c r="E69">
        <f>MAX(CEILING.MATH(C69, 1), D69)</f>
        <v/>
      </c>
      <c r="F69" t="inlineStr">
        <is>
          <t>OPEN</t>
        </is>
      </c>
      <c r="G69">
        <f>IF(F69="COVERED", E69*10.40, E69*7.55)</f>
        <v/>
      </c>
      <c r="H69" t="n">
        <v>0</v>
      </c>
      <c r="I69">
        <f>H69-G69</f>
        <v/>
      </c>
    </row>
    <row r="70">
      <c r="A70" t="inlineStr">
        <is>
          <t>GW-0809</t>
        </is>
      </c>
      <c r="B70" t="inlineStr">
        <is>
          <t>Stephanie Shepard</t>
        </is>
      </c>
      <c r="C70" t="n">
        <v>29.2</v>
      </c>
      <c r="D70" t="n">
        <v>70</v>
      </c>
      <c r="E70">
        <f>MAX(CEILING.MATH(C70, 1), D70)</f>
        <v/>
      </c>
      <c r="F70" t="inlineStr">
        <is>
          <t>OPEN</t>
        </is>
      </c>
      <c r="G70">
        <f>IF(F70="COVERED", E70*10.40, E70*7.55)</f>
        <v/>
      </c>
      <c r="H70" t="n">
        <v>0</v>
      </c>
      <c r="I70">
        <f>H70-G70</f>
        <v/>
      </c>
    </row>
    <row r="71">
      <c r="A71" t="inlineStr">
        <is>
          <t>GW-0810</t>
        </is>
      </c>
      <c r="B71" t="inlineStr">
        <is>
          <t>Ashley Logan</t>
        </is>
      </c>
      <c r="C71" t="n">
        <v>30.5</v>
      </c>
      <c r="D71" t="n">
        <v>70</v>
      </c>
      <c r="E71">
        <f>MAX(CEILING.MATH(C71, 1), D71)</f>
        <v/>
      </c>
      <c r="F71" t="inlineStr">
        <is>
          <t>OPEN</t>
        </is>
      </c>
      <c r="G71">
        <f>IF(F71="COVERED", E71*10.40, E71*7.55)</f>
        <v/>
      </c>
      <c r="H71" t="n">
        <v>0</v>
      </c>
      <c r="I71">
        <f>H71-G71</f>
        <v/>
      </c>
    </row>
    <row r="72">
      <c r="A72" t="inlineStr">
        <is>
          <t>GW-0811</t>
        </is>
      </c>
      <c r="B72" t="inlineStr">
        <is>
          <t>Lisa Brown</t>
        </is>
      </c>
      <c r="C72" t="n">
        <v>34.6</v>
      </c>
      <c r="D72" t="n">
        <v>45</v>
      </c>
      <c r="E72">
        <f>MAX(CEILING.MATH(C72, 1), D72)</f>
        <v/>
      </c>
      <c r="F72" t="inlineStr">
        <is>
          <t>OPEN</t>
        </is>
      </c>
      <c r="G72">
        <f>IF(F72="COVERED", E72*10.40, E72*7.55)</f>
        <v/>
      </c>
      <c r="H72" t="n">
        <v>0</v>
      </c>
      <c r="I72">
        <f>H72-G72</f>
        <v/>
      </c>
    </row>
    <row r="73">
      <c r="A73" t="inlineStr">
        <is>
          <t>GW-0812</t>
        </is>
      </c>
      <c r="B73" t="inlineStr">
        <is>
          <t>Michelle Herman</t>
        </is>
      </c>
      <c r="C73" t="n">
        <v>48.3</v>
      </c>
      <c r="D73" t="n">
        <v>28</v>
      </c>
      <c r="E73">
        <f>MAX(CEILING.MATH(C73, 1), D73)</f>
        <v/>
      </c>
      <c r="F73" t="inlineStr">
        <is>
          <t>OPEN</t>
        </is>
      </c>
      <c r="G73">
        <f>IF(F73="COVERED", E73*10.40, E73*7.55)</f>
        <v/>
      </c>
      <c r="H73" t="n">
        <v>0</v>
      </c>
      <c r="I73">
        <f>H73-G73</f>
        <v/>
      </c>
    </row>
    <row r="74">
      <c r="A74" t="inlineStr">
        <is>
          <t>GW-0813</t>
        </is>
      </c>
      <c r="B74" t="inlineStr">
        <is>
          <t>Rachel Burnett</t>
        </is>
      </c>
      <c r="C74" t="n">
        <v>48.7</v>
      </c>
      <c r="D74" t="n">
        <v>28</v>
      </c>
      <c r="E74">
        <f>MAX(CEILING.MATH(C74, 1), D74)</f>
        <v/>
      </c>
      <c r="F74" t="inlineStr">
        <is>
          <t>OPEN</t>
        </is>
      </c>
      <c r="G74">
        <f>IF(F74="COVERED", E74*10.40, E74*7.55)</f>
        <v/>
      </c>
      <c r="H74" t="n">
        <v>0</v>
      </c>
      <c r="I74">
        <f>H74-G74</f>
        <v/>
      </c>
    </row>
    <row r="75">
      <c r="A75" t="inlineStr">
        <is>
          <t>GW-0814</t>
        </is>
      </c>
      <c r="B75" t="inlineStr">
        <is>
          <t>Kathy Sanchez</t>
        </is>
      </c>
      <c r="C75" t="n">
        <v>33.1</v>
      </c>
      <c r="D75" t="n">
        <v>70</v>
      </c>
      <c r="E75">
        <f>MAX(CEILING.MATH(C75, 1), D75)</f>
        <v/>
      </c>
      <c r="F75" t="inlineStr">
        <is>
          <t>OPEN</t>
        </is>
      </c>
      <c r="G75">
        <f>IF(F75="COVERED", E75*10.40, E75*7.55)</f>
        <v/>
      </c>
      <c r="H75" t="n">
        <v>0</v>
      </c>
      <c r="I75">
        <f>H75-G75</f>
        <v/>
      </c>
    </row>
    <row r="76">
      <c r="A76" t="inlineStr">
        <is>
          <t>GW-0816</t>
        </is>
      </c>
      <c r="B76" t="inlineStr">
        <is>
          <t>Craig Mason</t>
        </is>
      </c>
      <c r="C76" t="n">
        <v>55.9</v>
      </c>
      <c r="D76" t="n">
        <v>70</v>
      </c>
      <c r="E76">
        <f>MAX(CEILING.MATH(C76, 1), D76)</f>
        <v/>
      </c>
      <c r="F76" t="inlineStr">
        <is>
          <t>OPEN</t>
        </is>
      </c>
      <c r="G76">
        <f>IF(F76="COVERED", E76*10.40, E76*7.55)</f>
        <v/>
      </c>
      <c r="H76" t="n">
        <v>0</v>
      </c>
      <c r="I76">
        <f>H76-G76</f>
        <v/>
      </c>
    </row>
    <row r="77">
      <c r="A77" t="inlineStr">
        <is>
          <t>GW-0817</t>
        </is>
      </c>
      <c r="B77" t="inlineStr">
        <is>
          <t>Mark Phillips</t>
        </is>
      </c>
      <c r="C77" t="n">
        <v>56.6</v>
      </c>
      <c r="D77" t="n">
        <v>60</v>
      </c>
      <c r="E77">
        <f>MAX(CEILING.MATH(C77, 1), D77)</f>
        <v/>
      </c>
      <c r="F77" t="inlineStr">
        <is>
          <t>OPEN</t>
        </is>
      </c>
      <c r="G77">
        <f>IF(F77="COVERED", E77*10.40, E77*7.55)</f>
        <v/>
      </c>
      <c r="H77" t="n">
        <v>0</v>
      </c>
      <c r="I77">
        <f>H77-G77</f>
        <v/>
      </c>
    </row>
    <row r="78">
      <c r="A78" t="inlineStr">
        <is>
          <t>GW-0818</t>
        </is>
      </c>
      <c r="B78" t="inlineStr">
        <is>
          <t>Casey Ortiz</t>
        </is>
      </c>
      <c r="C78" t="n">
        <v>56</v>
      </c>
      <c r="D78" t="n">
        <v>70</v>
      </c>
      <c r="E78">
        <f>MAX(CEILING.MATH(C78, 1), D78)</f>
        <v/>
      </c>
      <c r="F78" t="inlineStr">
        <is>
          <t>OPEN</t>
        </is>
      </c>
      <c r="G78">
        <f>IF(F78="COVERED", E78*10.40, E78*7.55)</f>
        <v/>
      </c>
      <c r="H78" t="n">
        <v>0</v>
      </c>
      <c r="I78">
        <f>H78-G78</f>
        <v/>
      </c>
    </row>
    <row r="79">
      <c r="A79" t="inlineStr">
        <is>
          <t>GW-0819</t>
        </is>
      </c>
      <c r="B79" t="inlineStr">
        <is>
          <t>Brett Cooley</t>
        </is>
      </c>
      <c r="C79" t="n">
        <v>43.9</v>
      </c>
      <c r="D79" t="n">
        <v>24</v>
      </c>
      <c r="E79">
        <f>MAX(CEILING.MATH(C79, 1), D79)</f>
        <v/>
      </c>
      <c r="F79" t="inlineStr">
        <is>
          <t>OPEN</t>
        </is>
      </c>
      <c r="G79">
        <f>IF(F79="COVERED", E79*10.40, E79*7.55)</f>
        <v/>
      </c>
      <c r="H79" t="n">
        <v>0</v>
      </c>
      <c r="I79">
        <f>H79-G79</f>
        <v/>
      </c>
    </row>
    <row r="80">
      <c r="A80" t="inlineStr">
        <is>
          <t>GW-0820</t>
        </is>
      </c>
      <c r="B80" t="inlineStr">
        <is>
          <t>Samantha Herring</t>
        </is>
      </c>
      <c r="C80" t="n">
        <v>57.9</v>
      </c>
      <c r="D80" t="n">
        <v>28</v>
      </c>
      <c r="E80">
        <f>MAX(CEILING.MATH(C80, 1), D80)</f>
        <v/>
      </c>
      <c r="F80" t="inlineStr">
        <is>
          <t>OPEN</t>
        </is>
      </c>
      <c r="G80">
        <f>IF(F80="COVERED", E80*10.40, E80*7.55)</f>
        <v/>
      </c>
      <c r="H80" t="n">
        <v>0</v>
      </c>
      <c r="I80">
        <f>H80-G80</f>
        <v/>
      </c>
    </row>
    <row r="81">
      <c r="A81" t="inlineStr">
        <is>
          <t>GW-0821</t>
        </is>
      </c>
      <c r="B81" t="inlineStr">
        <is>
          <t>Clinton Cox</t>
        </is>
      </c>
      <c r="C81" t="n">
        <v>48.4</v>
      </c>
      <c r="D81" t="n">
        <v>24</v>
      </c>
      <c r="E81">
        <f>MAX(CEILING.MATH(C81, 1), D81)</f>
        <v/>
      </c>
      <c r="F81" t="inlineStr">
        <is>
          <t>OPEN</t>
        </is>
      </c>
      <c r="G81">
        <f>IF(F81="COVERED", E81*10.40, E81*7.55)</f>
        <v/>
      </c>
      <c r="H81" t="n">
        <v>0</v>
      </c>
      <c r="I81">
        <f>H81-G81</f>
        <v/>
      </c>
    </row>
    <row r="82">
      <c r="A82" t="inlineStr">
        <is>
          <t>GW-0822</t>
        </is>
      </c>
      <c r="B82" t="inlineStr">
        <is>
          <t>Susan Snow</t>
        </is>
      </c>
      <c r="C82" t="n">
        <v>27.3</v>
      </c>
      <c r="D82" t="n">
        <v>24</v>
      </c>
      <c r="E82">
        <f>MAX(CEILING.MATH(C82, 1), D82)</f>
        <v/>
      </c>
      <c r="F82" t="inlineStr">
        <is>
          <t>OPEN</t>
        </is>
      </c>
      <c r="G82">
        <f>IF(F82="COVERED", E82*10.40, E82*7.55)</f>
        <v/>
      </c>
      <c r="H82" t="n">
        <v>0</v>
      </c>
      <c r="I82">
        <f>H82-G82</f>
        <v/>
      </c>
    </row>
    <row r="83">
      <c r="A83" t="inlineStr">
        <is>
          <t>GW-0823</t>
        </is>
      </c>
      <c r="B83" t="inlineStr">
        <is>
          <t>Charles Krause</t>
        </is>
      </c>
      <c r="C83" t="n">
        <v>29.8</v>
      </c>
      <c r="D83" t="n">
        <v>60</v>
      </c>
      <c r="E83">
        <f>MAX(CEILING.MATH(C83, 1), D83)</f>
        <v/>
      </c>
      <c r="F83" t="inlineStr">
        <is>
          <t>OPEN</t>
        </is>
      </c>
      <c r="G83">
        <f>IF(F83="COVERED", E83*10.40, E83*7.55)</f>
        <v/>
      </c>
      <c r="H83" t="n">
        <v>0</v>
      </c>
      <c r="I83">
        <f>H83-G83</f>
        <v/>
      </c>
    </row>
    <row r="84">
      <c r="A84" t="inlineStr">
        <is>
          <t>GW-0901</t>
        </is>
      </c>
      <c r="B84" t="inlineStr">
        <is>
          <t>Stephanie Webb</t>
        </is>
      </c>
      <c r="C84" t="n">
        <v>45.8</v>
      </c>
      <c r="D84" t="n">
        <v>24</v>
      </c>
      <c r="E84">
        <f>MAX(CEILING.MATH(C84, 1), D84)</f>
        <v/>
      </c>
      <c r="F84" t="inlineStr">
        <is>
          <t>OPEN</t>
        </is>
      </c>
      <c r="G84">
        <f>IF(F84="COVERED", E84*10.40, E84*7.55)</f>
        <v/>
      </c>
      <c r="H84" t="n">
        <v>0</v>
      </c>
      <c r="I84">
        <f>H84-G84</f>
        <v/>
      </c>
    </row>
    <row r="85">
      <c r="A85" t="inlineStr">
        <is>
          <t>GW-0902</t>
        </is>
      </c>
      <c r="B85" t="inlineStr">
        <is>
          <t>Richard Thompson</t>
        </is>
      </c>
      <c r="C85" t="n">
        <v>59.7</v>
      </c>
      <c r="D85" t="n">
        <v>36</v>
      </c>
      <c r="E85">
        <f>MAX(CEILING.MATH(C85, 1), D85)</f>
        <v/>
      </c>
      <c r="F85" t="inlineStr">
        <is>
          <t>OPEN</t>
        </is>
      </c>
      <c r="G85">
        <f>IF(F85="COVERED", E85*10.40, E85*7.55)</f>
        <v/>
      </c>
      <c r="H85" t="n">
        <v>0</v>
      </c>
      <c r="I85">
        <f>H85-G85</f>
        <v/>
      </c>
    </row>
    <row r="86">
      <c r="A86" t="inlineStr">
        <is>
          <t>GW-0903</t>
        </is>
      </c>
      <c r="B86" t="inlineStr">
        <is>
          <t>Daniel Perez</t>
        </is>
      </c>
      <c r="C86" t="n">
        <v>59.9</v>
      </c>
      <c r="D86" t="n">
        <v>36</v>
      </c>
      <c r="E86">
        <f>MAX(CEILING.MATH(C86, 1), D86)</f>
        <v/>
      </c>
      <c r="F86" t="inlineStr">
        <is>
          <t>OPEN</t>
        </is>
      </c>
      <c r="G86">
        <f>IF(F86="COVERED", E86*10.40, E86*7.55)</f>
        <v/>
      </c>
      <c r="H86" t="n">
        <v>0</v>
      </c>
      <c r="I86">
        <f>H86-G86</f>
        <v/>
      </c>
    </row>
    <row r="87">
      <c r="A87" t="inlineStr">
        <is>
          <t>GW-0904</t>
        </is>
      </c>
      <c r="B87" t="inlineStr">
        <is>
          <t>Andrew Medina</t>
        </is>
      </c>
      <c r="C87" t="n">
        <v>49.7</v>
      </c>
      <c r="D87" t="n">
        <v>32</v>
      </c>
      <c r="E87">
        <f>MAX(CEILING.MATH(C87, 1), D87)</f>
        <v/>
      </c>
      <c r="F87" t="inlineStr">
        <is>
          <t>OPEN</t>
        </is>
      </c>
      <c r="G87">
        <f>IF(F87="COVERED", E87*10.40, E87*7.55)</f>
        <v/>
      </c>
      <c r="H87" t="n">
        <v>0</v>
      </c>
      <c r="I87">
        <f>H87-G87</f>
        <v/>
      </c>
    </row>
    <row r="88">
      <c r="A88" t="inlineStr">
        <is>
          <t>GW-0905</t>
        </is>
      </c>
      <c r="B88" t="inlineStr">
        <is>
          <t>David Green</t>
        </is>
      </c>
      <c r="C88" t="n">
        <v>38.9</v>
      </c>
      <c r="D88" t="n">
        <v>50</v>
      </c>
      <c r="E88">
        <f>MAX(CEILING.MATH(C88, 1), D88)</f>
        <v/>
      </c>
      <c r="F88" t="inlineStr">
        <is>
          <t>OPEN</t>
        </is>
      </c>
      <c r="G88">
        <f>IF(F88="COVERED", E88*10.40, E88*7.55)</f>
        <v/>
      </c>
      <c r="H88" t="n">
        <v>0</v>
      </c>
      <c r="I88">
        <f>H88-G88</f>
        <v/>
      </c>
    </row>
    <row r="89">
      <c r="A89" t="inlineStr">
        <is>
          <t>GW-0906</t>
        </is>
      </c>
      <c r="B89" t="inlineStr">
        <is>
          <t>Holly Thomas</t>
        </is>
      </c>
      <c r="C89" t="n">
        <v>53.3</v>
      </c>
      <c r="D89" t="n">
        <v>45</v>
      </c>
      <c r="E89">
        <f>MAX(CEILING.MATH(C89, 1), D89)</f>
        <v/>
      </c>
      <c r="F89" t="inlineStr">
        <is>
          <t>OPEN</t>
        </is>
      </c>
      <c r="G89">
        <f>IF(F89="COVERED", E89*10.40, E89*7.55)</f>
        <v/>
      </c>
      <c r="H89" t="n">
        <v>0</v>
      </c>
      <c r="I89">
        <f>H89-G89</f>
        <v/>
      </c>
    </row>
    <row r="90">
      <c r="A90" t="inlineStr">
        <is>
          <t>GW-0907</t>
        </is>
      </c>
      <c r="B90" t="inlineStr">
        <is>
          <t>Sophia Williams</t>
        </is>
      </c>
      <c r="C90" t="n">
        <v>25.5</v>
      </c>
      <c r="D90" t="n">
        <v>45</v>
      </c>
      <c r="E90">
        <f>MAX(CEILING.MATH(C90, 1), D90)</f>
        <v/>
      </c>
      <c r="F90" t="inlineStr">
        <is>
          <t>OPEN</t>
        </is>
      </c>
      <c r="G90">
        <f>IF(F90="COVERED", E90*10.40, E90*7.55)</f>
        <v/>
      </c>
      <c r="H90" t="n">
        <v>0</v>
      </c>
      <c r="I90">
        <f>H90-G90</f>
        <v/>
      </c>
    </row>
    <row r="91">
      <c r="A91" t="inlineStr">
        <is>
          <t>GW-0908</t>
        </is>
      </c>
      <c r="B91" t="inlineStr">
        <is>
          <t>Melissa Gaines</t>
        </is>
      </c>
      <c r="C91" t="n">
        <v>50.9</v>
      </c>
      <c r="D91" t="n">
        <v>24</v>
      </c>
      <c r="E91">
        <f>MAX(CEILING.MATH(C91, 1), D91)</f>
        <v/>
      </c>
      <c r="F91" t="inlineStr">
        <is>
          <t>OPEN</t>
        </is>
      </c>
      <c r="G91">
        <f>IF(F91="COVERED", E91*10.40, E91*7.55)</f>
        <v/>
      </c>
      <c r="H91" t="n">
        <v>0</v>
      </c>
      <c r="I91">
        <f>H91-G91</f>
        <v/>
      </c>
    </row>
    <row r="92">
      <c r="A92" t="inlineStr">
        <is>
          <t>GW-0909</t>
        </is>
      </c>
      <c r="B92" t="inlineStr">
        <is>
          <t>Jodi Gonzalez</t>
        </is>
      </c>
      <c r="C92" t="n">
        <v>29</v>
      </c>
      <c r="D92" t="n">
        <v>40</v>
      </c>
      <c r="E92">
        <f>MAX(CEILING.MATH(C92, 1), D92)</f>
        <v/>
      </c>
      <c r="F92" t="inlineStr">
        <is>
          <t>OPEN</t>
        </is>
      </c>
      <c r="G92">
        <f>IF(F92="COVERED", E92*10.40, E92*7.55)</f>
        <v/>
      </c>
      <c r="H92" t="n">
        <v>0</v>
      </c>
      <c r="I92">
        <f>H92-G92</f>
        <v/>
      </c>
    </row>
    <row r="93">
      <c r="A93" t="inlineStr">
        <is>
          <t>GW-0910</t>
        </is>
      </c>
      <c r="B93" t="inlineStr">
        <is>
          <t>Bradley Mejia</t>
        </is>
      </c>
      <c r="C93" t="n">
        <v>25.9</v>
      </c>
      <c r="D93" t="n">
        <v>50</v>
      </c>
      <c r="E93">
        <f>MAX(CEILING.MATH(C93, 1), D93)</f>
        <v/>
      </c>
      <c r="F93" t="inlineStr">
        <is>
          <t>OPEN</t>
        </is>
      </c>
      <c r="G93">
        <f>IF(F93="COVERED", E93*10.40, E93*7.55)</f>
        <v/>
      </c>
      <c r="H93" t="n">
        <v>0</v>
      </c>
      <c r="I93">
        <f>H93-G93</f>
        <v/>
      </c>
    </row>
    <row r="94">
      <c r="A94" t="inlineStr">
        <is>
          <t>GW-0911</t>
        </is>
      </c>
      <c r="B94" t="inlineStr">
        <is>
          <t>Melissa Wallace</t>
        </is>
      </c>
      <c r="C94" t="n">
        <v>36.5</v>
      </c>
      <c r="D94" t="n">
        <v>32</v>
      </c>
      <c r="E94">
        <f>MAX(CEILING.MATH(C94, 1), D94)</f>
        <v/>
      </c>
      <c r="F94" t="inlineStr">
        <is>
          <t>OPEN</t>
        </is>
      </c>
      <c r="G94">
        <f>IF(F94="COVERED", E94*10.40, E94*7.55)</f>
        <v/>
      </c>
      <c r="H94" t="n">
        <v>0</v>
      </c>
      <c r="I94">
        <f>H94-G94</f>
        <v/>
      </c>
    </row>
    <row r="95">
      <c r="A95" t="inlineStr">
        <is>
          <t>GW-0912</t>
        </is>
      </c>
      <c r="B95" t="inlineStr">
        <is>
          <t>David Stewart</t>
        </is>
      </c>
      <c r="C95" t="n">
        <v>59</v>
      </c>
      <c r="D95" t="n">
        <v>32</v>
      </c>
      <c r="E95">
        <f>MAX(CEILING.MATH(C95, 1), D95)</f>
        <v/>
      </c>
      <c r="F95" t="inlineStr">
        <is>
          <t>OPEN</t>
        </is>
      </c>
      <c r="G95">
        <f>IF(F95="COVERED", E95*10.40, E95*7.55)</f>
        <v/>
      </c>
      <c r="H95" t="n">
        <v>0</v>
      </c>
      <c r="I95">
        <f>H95-G95</f>
        <v/>
      </c>
    </row>
    <row r="96">
      <c r="A96" t="inlineStr">
        <is>
          <t>GW-0913</t>
        </is>
      </c>
      <c r="B96" t="inlineStr">
        <is>
          <t>Darlene Glover</t>
        </is>
      </c>
      <c r="C96" t="n">
        <v>53.1</v>
      </c>
      <c r="D96" t="n">
        <v>28</v>
      </c>
      <c r="E96">
        <f>MAX(CEILING.MATH(C96, 1), D96)</f>
        <v/>
      </c>
      <c r="F96" t="inlineStr">
        <is>
          <t>OPEN</t>
        </is>
      </c>
      <c r="G96">
        <f>IF(F96="COVERED", E96*10.40, E96*7.55)</f>
        <v/>
      </c>
      <c r="H96" t="n">
        <v>0</v>
      </c>
      <c r="I96">
        <f>H96-G96</f>
        <v/>
      </c>
    </row>
    <row r="97">
      <c r="A97" t="inlineStr">
        <is>
          <t>GW-0914</t>
        </is>
      </c>
      <c r="B97" t="inlineStr">
        <is>
          <t>Lori Maldonado</t>
        </is>
      </c>
      <c r="C97" t="n">
        <v>45.4</v>
      </c>
      <c r="D97" t="n">
        <v>24</v>
      </c>
      <c r="E97">
        <f>MAX(CEILING.MATH(C97, 1), D97)</f>
        <v/>
      </c>
      <c r="F97" t="inlineStr">
        <is>
          <t>OPEN</t>
        </is>
      </c>
      <c r="G97">
        <f>IF(F97="COVERED", E97*10.40, E97*7.55)</f>
        <v/>
      </c>
      <c r="H97" t="n">
        <v>0</v>
      </c>
      <c r="I97">
        <f>H97-G97</f>
        <v/>
      </c>
    </row>
    <row r="98">
      <c r="A98" t="inlineStr">
        <is>
          <t>GW-0915</t>
        </is>
      </c>
      <c r="B98" t="inlineStr">
        <is>
          <t>Jacqueline Anderson</t>
        </is>
      </c>
      <c r="C98" t="n">
        <v>55.2</v>
      </c>
      <c r="D98" t="n">
        <v>32</v>
      </c>
      <c r="E98">
        <f>MAX(CEILING.MATH(C98, 1), D98)</f>
        <v/>
      </c>
      <c r="F98" t="inlineStr">
        <is>
          <t>OPEN</t>
        </is>
      </c>
      <c r="G98">
        <f>IF(F98="COVERED", E98*10.40, E98*7.55)</f>
        <v/>
      </c>
      <c r="H98" t="n">
        <v>0</v>
      </c>
      <c r="I98">
        <f>H98-G98</f>
        <v/>
      </c>
    </row>
    <row r="99">
      <c r="A99" t="inlineStr">
        <is>
          <t>GW-0916</t>
        </is>
      </c>
      <c r="B99" t="inlineStr">
        <is>
          <t>Danny Flores</t>
        </is>
      </c>
      <c r="C99" t="n">
        <v>61.5</v>
      </c>
      <c r="D99" t="n">
        <v>24</v>
      </c>
      <c r="E99">
        <f>MAX(CEILING.MATH(C99, 1), D99)</f>
        <v/>
      </c>
      <c r="F99" t="inlineStr">
        <is>
          <t>OPEN</t>
        </is>
      </c>
      <c r="G99">
        <f>IF(F99="COVERED", E99*10.40, E99*7.55)</f>
        <v/>
      </c>
      <c r="H99" t="n">
        <v>0</v>
      </c>
      <c r="I99">
        <f>H99-G99</f>
        <v/>
      </c>
    </row>
    <row r="100">
      <c r="A100" t="inlineStr">
        <is>
          <t>GW-0917</t>
        </is>
      </c>
      <c r="B100" t="inlineStr">
        <is>
          <t>Sharon Lopez</t>
        </is>
      </c>
      <c r="C100" t="n">
        <v>56.4</v>
      </c>
      <c r="D100" t="n">
        <v>24</v>
      </c>
      <c r="E100">
        <f>MAX(CEILING.MATH(C100, 1), D100)</f>
        <v/>
      </c>
      <c r="F100" t="inlineStr">
        <is>
          <t>OPEN</t>
        </is>
      </c>
      <c r="G100">
        <f>IF(F100="COVERED", E100*10.40, E100*7.55)</f>
        <v/>
      </c>
      <c r="H100" t="n">
        <v>0</v>
      </c>
      <c r="I100">
        <f>H100-G100</f>
        <v/>
      </c>
    </row>
    <row r="101">
      <c r="A101" t="inlineStr">
        <is>
          <t>GW-0918</t>
        </is>
      </c>
      <c r="B101" t="inlineStr">
        <is>
          <t>Jessica Sanford</t>
        </is>
      </c>
      <c r="C101" t="n">
        <v>61.6</v>
      </c>
      <c r="D101" t="n">
        <v>50</v>
      </c>
      <c r="E101">
        <f>MAX(CEILING.MATH(C101, 1), D101)</f>
        <v/>
      </c>
      <c r="F101" t="inlineStr">
        <is>
          <t>OPEN</t>
        </is>
      </c>
      <c r="G101">
        <f>IF(F101="COVERED", E101*10.40, E101*7.55)</f>
        <v/>
      </c>
      <c r="H101" t="n">
        <v>0</v>
      </c>
      <c r="I101">
        <f>H101-G101</f>
        <v/>
      </c>
    </row>
    <row r="102">
      <c r="A102" t="inlineStr">
        <is>
          <t>GW-0919</t>
        </is>
      </c>
      <c r="B102" t="inlineStr">
        <is>
          <t>Kelly Howell</t>
        </is>
      </c>
      <c r="C102" t="n">
        <v>53.5</v>
      </c>
      <c r="D102" t="n">
        <v>36</v>
      </c>
      <c r="E102">
        <f>MAX(CEILING.MATH(C102, 1), D102)</f>
        <v/>
      </c>
      <c r="F102" t="inlineStr">
        <is>
          <t>OPEN</t>
        </is>
      </c>
      <c r="G102">
        <f>IF(F102="COVERED", E102*10.40, E102*7.55)</f>
        <v/>
      </c>
      <c r="H102" t="n">
        <v>0</v>
      </c>
      <c r="I102">
        <f>H102-G102</f>
        <v/>
      </c>
    </row>
    <row r="103">
      <c r="A103" t="inlineStr">
        <is>
          <t>GW-0920</t>
        </is>
      </c>
      <c r="B103" t="inlineStr">
        <is>
          <t>Philip Simpson</t>
        </is>
      </c>
      <c r="C103" t="n">
        <v>35.7</v>
      </c>
      <c r="D103" t="n">
        <v>28</v>
      </c>
      <c r="E103">
        <f>MAX(CEILING.MATH(C103, 1), D103)</f>
        <v/>
      </c>
      <c r="F103" t="inlineStr">
        <is>
          <t>OPEN</t>
        </is>
      </c>
      <c r="G103">
        <f>IF(F103="COVERED", E103*10.40, E103*7.55)</f>
        <v/>
      </c>
      <c r="H103" t="n">
        <v>0</v>
      </c>
      <c r="I103">
        <f>H103-G103</f>
        <v/>
      </c>
    </row>
    <row r="104">
      <c r="A104" t="inlineStr">
        <is>
          <t>GW-0921</t>
        </is>
      </c>
      <c r="B104" t="inlineStr">
        <is>
          <t>Keith Barr</t>
        </is>
      </c>
      <c r="C104" t="n">
        <v>46.7</v>
      </c>
      <c r="D104" t="n">
        <v>32</v>
      </c>
      <c r="E104">
        <f>MAX(CEILING.MATH(C104, 1), D104)</f>
        <v/>
      </c>
      <c r="F104" t="inlineStr">
        <is>
          <t>OPEN</t>
        </is>
      </c>
      <c r="G104">
        <f>IF(F104="COVERED", E104*10.40, E104*7.55)</f>
        <v/>
      </c>
      <c r="H104" t="n">
        <v>0</v>
      </c>
      <c r="I104">
        <f>H104-G104</f>
        <v/>
      </c>
    </row>
    <row r="105">
      <c r="A105" t="inlineStr">
        <is>
          <t>GW-0922</t>
        </is>
      </c>
      <c r="B105" t="inlineStr">
        <is>
          <t>Nicole Golden</t>
        </is>
      </c>
      <c r="C105" t="n">
        <v>47.4</v>
      </c>
      <c r="D105" t="n">
        <v>70</v>
      </c>
      <c r="E105">
        <f>MAX(CEILING.MATH(C105, 1), D105)</f>
        <v/>
      </c>
      <c r="F105" t="inlineStr">
        <is>
          <t>OPEN</t>
        </is>
      </c>
      <c r="G105">
        <f>IF(F105="COVERED", E105*10.40, E105*7.55)</f>
        <v/>
      </c>
      <c r="H105" t="n">
        <v>0</v>
      </c>
      <c r="I105">
        <f>H105-G105</f>
        <v/>
      </c>
    </row>
    <row r="106">
      <c r="A106" t="inlineStr">
        <is>
          <t>GW-0923</t>
        </is>
      </c>
      <c r="B106" t="inlineStr">
        <is>
          <t>Elizabeth Larsen</t>
        </is>
      </c>
      <c r="C106" t="n">
        <v>26.3</v>
      </c>
      <c r="D106" t="n">
        <v>70</v>
      </c>
      <c r="E106">
        <f>MAX(CEILING.MATH(C106, 1), D106)</f>
        <v/>
      </c>
      <c r="F106" t="inlineStr">
        <is>
          <t>OPEN</t>
        </is>
      </c>
      <c r="G106">
        <f>IF(F106="COVERED", E106*10.40, E106*7.55)</f>
        <v/>
      </c>
      <c r="H106" t="n">
        <v>0</v>
      </c>
      <c r="I106">
        <f>H106-G106</f>
        <v/>
      </c>
    </row>
    <row r="107">
      <c r="A107" t="inlineStr">
        <is>
          <t>GW-1001</t>
        </is>
      </c>
      <c r="B107" t="inlineStr">
        <is>
          <t>Brandon Choi</t>
        </is>
      </c>
      <c r="C107" t="n">
        <v>47.2</v>
      </c>
      <c r="D107" t="n">
        <v>32</v>
      </c>
      <c r="E107">
        <f>MAX(CEILING.MATH(C107, 1), D107)</f>
        <v/>
      </c>
      <c r="F107" t="inlineStr">
        <is>
          <t>OPEN</t>
        </is>
      </c>
      <c r="G107">
        <f>IF(F107="COVERED", E107*10.40, E107*7.55)</f>
        <v/>
      </c>
      <c r="H107" t="n">
        <v>0</v>
      </c>
      <c r="I107">
        <f>H107-G107</f>
        <v/>
      </c>
    </row>
    <row r="108">
      <c r="A108" t="inlineStr">
        <is>
          <t>GW-1002</t>
        </is>
      </c>
      <c r="B108" t="inlineStr">
        <is>
          <t>Evelyn Thomas</t>
        </is>
      </c>
      <c r="C108" t="n">
        <v>36.7</v>
      </c>
      <c r="D108" t="n">
        <v>60</v>
      </c>
      <c r="E108">
        <f>MAX(CEILING.MATH(C108, 1), D108)</f>
        <v/>
      </c>
      <c r="F108" t="inlineStr">
        <is>
          <t>OPEN</t>
        </is>
      </c>
      <c r="G108">
        <f>IF(F108="COVERED", E108*10.40, E108*7.55)</f>
        <v/>
      </c>
      <c r="H108" t="n">
        <v>0</v>
      </c>
      <c r="I108">
        <f>H108-G108</f>
        <v/>
      </c>
    </row>
    <row r="109">
      <c r="A109" t="inlineStr">
        <is>
          <t>GW-1003</t>
        </is>
      </c>
      <c r="B109" t="inlineStr">
        <is>
          <t>Jenna Marsh</t>
        </is>
      </c>
      <c r="C109" t="n">
        <v>19</v>
      </c>
      <c r="D109" t="n">
        <v>24</v>
      </c>
      <c r="E109">
        <f>MAX(CEILING.MATH(C109, 1), D109)</f>
        <v/>
      </c>
      <c r="F109" t="inlineStr">
        <is>
          <t>OPEN</t>
        </is>
      </c>
      <c r="G109">
        <f>IF(F109="COVERED", E109*10.40, E109*7.55)</f>
        <v/>
      </c>
      <c r="H109" t="n">
        <v>0</v>
      </c>
      <c r="I109">
        <f>H109-G109</f>
        <v/>
      </c>
    </row>
    <row r="110">
      <c r="A110" t="inlineStr">
        <is>
          <t>GW-1004</t>
        </is>
      </c>
      <c r="B110" t="inlineStr">
        <is>
          <t>Todd Williams</t>
        </is>
      </c>
      <c r="C110" t="n">
        <v>25.8</v>
      </c>
      <c r="D110" t="n">
        <v>36</v>
      </c>
      <c r="E110">
        <f>MAX(CEILING.MATH(C110, 1), D110)</f>
        <v/>
      </c>
      <c r="F110" t="inlineStr">
        <is>
          <t>OPEN</t>
        </is>
      </c>
      <c r="G110">
        <f>IF(F110="COVERED", E110*10.40, E110*7.55)</f>
        <v/>
      </c>
      <c r="H110" t="n">
        <v>0</v>
      </c>
      <c r="I110">
        <f>H110-G110</f>
        <v/>
      </c>
    </row>
    <row r="111">
      <c r="A111" t="inlineStr">
        <is>
          <t>GW-1005</t>
        </is>
      </c>
      <c r="B111" t="inlineStr">
        <is>
          <t>William Lam</t>
        </is>
      </c>
      <c r="C111" t="n">
        <v>58.4</v>
      </c>
      <c r="D111" t="n">
        <v>32</v>
      </c>
      <c r="E111">
        <f>MAX(CEILING.MATH(C111, 1), D111)</f>
        <v/>
      </c>
      <c r="F111" t="inlineStr">
        <is>
          <t>OPEN</t>
        </is>
      </c>
      <c r="G111">
        <f>IF(F111="COVERED", E111*10.40, E111*7.55)</f>
        <v/>
      </c>
      <c r="H111" t="n">
        <v>0</v>
      </c>
      <c r="I111">
        <f>H111-G111</f>
        <v/>
      </c>
    </row>
    <row r="112">
      <c r="A112" t="inlineStr">
        <is>
          <t>GW-1006</t>
        </is>
      </c>
      <c r="B112" t="inlineStr">
        <is>
          <t>Robin Duke</t>
        </is>
      </c>
      <c r="C112" t="n">
        <v>31.4</v>
      </c>
      <c r="D112" t="n">
        <v>32</v>
      </c>
      <c r="E112">
        <f>MAX(CEILING.MATH(C112, 1), D112)</f>
        <v/>
      </c>
      <c r="F112" t="inlineStr">
        <is>
          <t>OPEN</t>
        </is>
      </c>
      <c r="G112">
        <f>IF(F112="COVERED", E112*10.40, E112*7.55)</f>
        <v/>
      </c>
      <c r="H112" t="n">
        <v>0</v>
      </c>
      <c r="I112">
        <f>H112-G112</f>
        <v/>
      </c>
    </row>
    <row r="113">
      <c r="A113" t="inlineStr">
        <is>
          <t>GW-1007</t>
        </is>
      </c>
      <c r="B113" t="inlineStr">
        <is>
          <t>Robert Smith</t>
        </is>
      </c>
      <c r="C113" t="n">
        <v>29.1</v>
      </c>
      <c r="D113" t="n">
        <v>60</v>
      </c>
      <c r="E113">
        <f>MAX(CEILING.MATH(C113, 1), D113)</f>
        <v/>
      </c>
      <c r="F113" t="inlineStr">
        <is>
          <t>OPEN</t>
        </is>
      </c>
      <c r="G113">
        <f>IF(F113="COVERED", E113*10.40, E113*7.55)</f>
        <v/>
      </c>
      <c r="H113" t="n">
        <v>0</v>
      </c>
      <c r="I113">
        <f>H113-G113</f>
        <v/>
      </c>
    </row>
    <row r="114">
      <c r="A114" t="inlineStr">
        <is>
          <t>GW-1008</t>
        </is>
      </c>
      <c r="B114" t="inlineStr">
        <is>
          <t>Nancy Branch</t>
        </is>
      </c>
      <c r="C114" t="n">
        <v>58.3</v>
      </c>
      <c r="D114" t="n">
        <v>60</v>
      </c>
      <c r="E114">
        <f>MAX(CEILING.MATH(C114, 1), D114)</f>
        <v/>
      </c>
      <c r="F114" t="inlineStr">
        <is>
          <t>OPEN</t>
        </is>
      </c>
      <c r="G114">
        <f>IF(F114="COVERED", E114*10.40, E114*7.55)</f>
        <v/>
      </c>
      <c r="H114" t="n">
        <v>0</v>
      </c>
      <c r="I114">
        <f>H114-G114</f>
        <v/>
      </c>
    </row>
    <row r="115">
      <c r="A115" t="inlineStr">
        <is>
          <t>GW-1009</t>
        </is>
      </c>
      <c r="B115" t="inlineStr">
        <is>
          <t>Roy Stuart</t>
        </is>
      </c>
      <c r="C115" t="n">
        <v>47.5</v>
      </c>
      <c r="D115" t="n">
        <v>45</v>
      </c>
      <c r="E115">
        <f>MAX(CEILING.MATH(C115, 1), D115)</f>
        <v/>
      </c>
      <c r="F115" t="inlineStr">
        <is>
          <t>OPEN</t>
        </is>
      </c>
      <c r="G115">
        <f>IF(F115="COVERED", E115*10.40, E115*7.55)</f>
        <v/>
      </c>
      <c r="H115" t="n">
        <v>0</v>
      </c>
      <c r="I115">
        <f>H115-G115</f>
        <v/>
      </c>
    </row>
    <row r="116">
      <c r="A116" t="inlineStr">
        <is>
          <t>GW-1010</t>
        </is>
      </c>
      <c r="B116" t="inlineStr">
        <is>
          <t>Charles Gomez</t>
        </is>
      </c>
      <c r="C116" t="n">
        <v>27.2</v>
      </c>
      <c r="D116" t="n">
        <v>45</v>
      </c>
      <c r="E116">
        <f>MAX(CEILING.MATH(C116, 1), D116)</f>
        <v/>
      </c>
      <c r="F116" t="inlineStr">
        <is>
          <t>OPEN</t>
        </is>
      </c>
      <c r="G116">
        <f>IF(F116="COVERED", E116*10.40, E116*7.55)</f>
        <v/>
      </c>
      <c r="H116" t="n">
        <v>0</v>
      </c>
      <c r="I116">
        <f>H116-G116</f>
        <v/>
      </c>
    </row>
    <row r="117">
      <c r="A117" t="inlineStr">
        <is>
          <t>GW-1011</t>
        </is>
      </c>
      <c r="B117" t="inlineStr">
        <is>
          <t>Katrina Griffin</t>
        </is>
      </c>
      <c r="C117" t="n">
        <v>51.7</v>
      </c>
      <c r="D117" t="n">
        <v>80</v>
      </c>
      <c r="E117">
        <f>MAX(CEILING.MATH(C117, 1), D117)</f>
        <v/>
      </c>
      <c r="F117" t="inlineStr">
        <is>
          <t>OPEN</t>
        </is>
      </c>
      <c r="G117">
        <f>IF(F117="COVERED", E117*10.40, E117*7.55)</f>
        <v/>
      </c>
      <c r="H117" t="n">
        <v>0</v>
      </c>
      <c r="I117">
        <f>H117-G117</f>
        <v/>
      </c>
    </row>
    <row r="118">
      <c r="A118" t="inlineStr">
        <is>
          <t>GW-1012</t>
        </is>
      </c>
      <c r="B118" t="inlineStr">
        <is>
          <t>Kaitlin Meyer</t>
        </is>
      </c>
      <c r="C118" t="n">
        <v>48</v>
      </c>
      <c r="D118" t="n">
        <v>80</v>
      </c>
      <c r="E118">
        <f>MAX(CEILING.MATH(C118, 1), D118)</f>
        <v/>
      </c>
      <c r="F118" t="inlineStr">
        <is>
          <t>OPEN</t>
        </is>
      </c>
      <c r="G118">
        <f>IF(F118="COVERED", E118*10.40, E118*7.55)</f>
        <v/>
      </c>
      <c r="H118" t="n">
        <v>0</v>
      </c>
      <c r="I118">
        <f>H118-G118</f>
        <v/>
      </c>
    </row>
    <row r="119">
      <c r="A119" t="inlineStr">
        <is>
          <t>GW-1013</t>
        </is>
      </c>
      <c r="B119" t="inlineStr">
        <is>
          <t>Patricia Thomas</t>
        </is>
      </c>
      <c r="C119" t="n">
        <v>27.1</v>
      </c>
      <c r="D119" t="n">
        <v>60</v>
      </c>
      <c r="E119">
        <f>MAX(CEILING.MATH(C119, 1), D119)</f>
        <v/>
      </c>
      <c r="F119" t="inlineStr">
        <is>
          <t>OPEN</t>
        </is>
      </c>
      <c r="G119">
        <f>IF(F119="COVERED", E119*10.40, E119*7.55)</f>
        <v/>
      </c>
      <c r="H119" t="n">
        <v>0</v>
      </c>
      <c r="I119">
        <f>H119-G119</f>
        <v/>
      </c>
    </row>
    <row r="120">
      <c r="A120" t="inlineStr">
        <is>
          <t>GW-1014</t>
        </is>
      </c>
      <c r="B120" t="inlineStr">
        <is>
          <t>Eric Thomas</t>
        </is>
      </c>
      <c r="C120" t="n">
        <v>30.6</v>
      </c>
      <c r="D120" t="n">
        <v>32</v>
      </c>
      <c r="E120">
        <f>MAX(CEILING.MATH(C120, 1), D120)</f>
        <v/>
      </c>
      <c r="F120" t="inlineStr">
        <is>
          <t>OPEN</t>
        </is>
      </c>
      <c r="G120">
        <f>IF(F120="COVERED", E120*10.40, E120*7.55)</f>
        <v/>
      </c>
      <c r="H120" t="n">
        <v>0</v>
      </c>
      <c r="I120">
        <f>H120-G120</f>
        <v/>
      </c>
    </row>
    <row r="121">
      <c r="A121" t="inlineStr">
        <is>
          <t>GW-1015</t>
        </is>
      </c>
      <c r="B121" t="inlineStr">
        <is>
          <t>Lisa Wright</t>
        </is>
      </c>
      <c r="C121" t="n">
        <v>50.8</v>
      </c>
      <c r="D121" t="n">
        <v>70</v>
      </c>
      <c r="E121">
        <f>MAX(CEILING.MATH(C121, 1), D121)</f>
        <v/>
      </c>
      <c r="F121" t="inlineStr">
        <is>
          <t>OPEN</t>
        </is>
      </c>
      <c r="G121">
        <f>IF(F121="COVERED", E121*10.40, E121*7.55)</f>
        <v/>
      </c>
      <c r="H121" t="n">
        <v>0</v>
      </c>
      <c r="I121">
        <f>H121-G121</f>
        <v/>
      </c>
    </row>
    <row r="122">
      <c r="A122" t="inlineStr">
        <is>
          <t>GW-1016</t>
        </is>
      </c>
      <c r="B122" t="inlineStr">
        <is>
          <t>Seth Neal</t>
        </is>
      </c>
      <c r="C122" t="n">
        <v>31.6</v>
      </c>
      <c r="D122" t="n">
        <v>24</v>
      </c>
      <c r="E122">
        <f>MAX(CEILING.MATH(C122, 1), D122)</f>
        <v/>
      </c>
      <c r="F122" t="inlineStr">
        <is>
          <t>OPEN</t>
        </is>
      </c>
      <c r="G122">
        <f>IF(F122="COVERED", E122*10.40, E122*7.55)</f>
        <v/>
      </c>
      <c r="H122" t="n">
        <v>0</v>
      </c>
      <c r="I122">
        <f>H122-G122</f>
        <v/>
      </c>
    </row>
    <row r="123">
      <c r="A123" t="inlineStr">
        <is>
          <t>GW-1017</t>
        </is>
      </c>
      <c r="B123" t="inlineStr">
        <is>
          <t>John George</t>
        </is>
      </c>
      <c r="C123" t="n">
        <v>22.5</v>
      </c>
      <c r="D123" t="n">
        <v>32</v>
      </c>
      <c r="E123">
        <f>MAX(CEILING.MATH(C123, 1), D123)</f>
        <v/>
      </c>
      <c r="F123" t="inlineStr">
        <is>
          <t>OPEN</t>
        </is>
      </c>
      <c r="G123">
        <f>IF(F123="COVERED", E123*10.40, E123*7.55)</f>
        <v/>
      </c>
      <c r="H123" t="n">
        <v>0</v>
      </c>
      <c r="I123">
        <f>H123-G123</f>
        <v/>
      </c>
    </row>
    <row r="124">
      <c r="A124" t="inlineStr">
        <is>
          <t>GW-1018</t>
        </is>
      </c>
      <c r="B124" t="inlineStr">
        <is>
          <t>Jose Benson</t>
        </is>
      </c>
      <c r="C124" t="n">
        <v>51</v>
      </c>
      <c r="D124" t="n">
        <v>24</v>
      </c>
      <c r="E124">
        <f>MAX(CEILING.MATH(C124, 1), D124)</f>
        <v/>
      </c>
      <c r="F124" t="inlineStr">
        <is>
          <t>OPEN</t>
        </is>
      </c>
      <c r="G124">
        <f>IF(F124="COVERED", E124*10.40, E124*7.55)</f>
        <v/>
      </c>
      <c r="H124" t="n">
        <v>0</v>
      </c>
      <c r="I124">
        <f>H124-G124</f>
        <v/>
      </c>
    </row>
    <row r="125">
      <c r="A125" t="inlineStr">
        <is>
          <t>GW-1019</t>
        </is>
      </c>
      <c r="B125" t="inlineStr">
        <is>
          <t>Chelsea Chandler</t>
        </is>
      </c>
      <c r="C125" t="n">
        <v>42.1</v>
      </c>
      <c r="D125" t="n">
        <v>45</v>
      </c>
      <c r="E125">
        <f>MAX(CEILING.MATH(C125, 1), D125)</f>
        <v/>
      </c>
      <c r="F125" t="inlineStr">
        <is>
          <t>OPEN</t>
        </is>
      </c>
      <c r="G125">
        <f>IF(F125="COVERED", E125*10.40, E125*7.55)</f>
        <v/>
      </c>
      <c r="H125" t="n">
        <v>0</v>
      </c>
      <c r="I125">
        <f>H125-G125</f>
        <v/>
      </c>
    </row>
    <row r="126">
      <c r="A126" t="inlineStr">
        <is>
          <t>GW-1020</t>
        </is>
      </c>
      <c r="B126" t="inlineStr">
        <is>
          <t>Michael Beard</t>
        </is>
      </c>
      <c r="C126" t="n">
        <v>19.8</v>
      </c>
      <c r="D126" t="n">
        <v>32</v>
      </c>
      <c r="E126">
        <f>MAX(CEILING.MATH(C126, 1), D126)</f>
        <v/>
      </c>
      <c r="F126" t="inlineStr">
        <is>
          <t>OPEN</t>
        </is>
      </c>
      <c r="G126">
        <f>IF(F126="COVERED", E126*10.40, E126*7.55)</f>
        <v/>
      </c>
      <c r="H126" t="n">
        <v>0</v>
      </c>
      <c r="I126">
        <f>H126-G126</f>
        <v/>
      </c>
    </row>
    <row r="127">
      <c r="A127" t="inlineStr">
        <is>
          <t>GW-1021</t>
        </is>
      </c>
      <c r="B127" t="inlineStr">
        <is>
          <t>Alyssa Robinson</t>
        </is>
      </c>
      <c r="C127" t="n">
        <v>28.5</v>
      </c>
      <c r="D127" t="n">
        <v>45</v>
      </c>
      <c r="E127">
        <f>MAX(CEILING.MATH(C127, 1), D127)</f>
        <v/>
      </c>
      <c r="F127" t="inlineStr">
        <is>
          <t>OPEN</t>
        </is>
      </c>
      <c r="G127">
        <f>IF(F127="COVERED", E127*10.40, E127*7.55)</f>
        <v/>
      </c>
      <c r="H127" t="n">
        <v>0</v>
      </c>
      <c r="I127">
        <f>H127-G127</f>
        <v/>
      </c>
    </row>
    <row r="128">
      <c r="A128" t="inlineStr">
        <is>
          <t>GW-1023</t>
        </is>
      </c>
      <c r="B128" t="inlineStr">
        <is>
          <t>Mia Schwartz</t>
        </is>
      </c>
      <c r="C128" t="n">
        <v>35</v>
      </c>
      <c r="D128" t="n">
        <v>28</v>
      </c>
      <c r="E128">
        <f>MAX(CEILING.MATH(C128, 1), D128)</f>
        <v/>
      </c>
      <c r="F128" t="inlineStr">
        <is>
          <t>OPEN</t>
        </is>
      </c>
      <c r="G128">
        <f>IF(F128="COVERED", E128*10.40, E128*7.55)</f>
        <v/>
      </c>
      <c r="H128" t="n">
        <v>0</v>
      </c>
      <c r="I128">
        <f>H128-G128</f>
        <v/>
      </c>
    </row>
    <row r="129">
      <c r="A129" t="inlineStr">
        <is>
          <t>SB-0101</t>
        </is>
      </c>
      <c r="B129" t="inlineStr">
        <is>
          <t>Lisa Johnson</t>
        </is>
      </c>
      <c r="C129" t="n">
        <v>27.6</v>
      </c>
      <c r="D129" t="n">
        <v>70</v>
      </c>
      <c r="E129">
        <f>MAX(CEILING.MATH(C129, 1), D129)</f>
        <v/>
      </c>
      <c r="F129" t="inlineStr">
        <is>
          <t>OPEN</t>
        </is>
      </c>
      <c r="G129">
        <f>IF(F129="COVERED", E129*10.40, E129*7.55)</f>
        <v/>
      </c>
      <c r="H129" t="n">
        <v>0</v>
      </c>
      <c r="I129">
        <f>H129-G129</f>
        <v/>
      </c>
    </row>
    <row r="130">
      <c r="A130" t="inlineStr">
        <is>
          <t>SB-0102</t>
        </is>
      </c>
      <c r="B130" t="inlineStr">
        <is>
          <t>Andrew Rivera</t>
        </is>
      </c>
      <c r="C130" t="n">
        <v>44.3</v>
      </c>
      <c r="D130" t="n">
        <v>32</v>
      </c>
      <c r="E130">
        <f>MAX(CEILING.MATH(C130, 1), D130)</f>
        <v/>
      </c>
      <c r="F130" t="inlineStr">
        <is>
          <t>OPEN</t>
        </is>
      </c>
      <c r="G130">
        <f>IF(F130="COVERED", E130*10.40, E130*7.55)</f>
        <v/>
      </c>
      <c r="H130" t="n">
        <v>0</v>
      </c>
      <c r="I130">
        <f>H130-G130</f>
        <v/>
      </c>
    </row>
    <row r="131">
      <c r="A131" t="inlineStr">
        <is>
          <t>SB-0103</t>
        </is>
      </c>
      <c r="B131" t="inlineStr">
        <is>
          <t>Mark Harvey</t>
        </is>
      </c>
      <c r="C131" t="n">
        <v>55.5</v>
      </c>
      <c r="D131" t="n">
        <v>36</v>
      </c>
      <c r="E131">
        <f>MAX(CEILING.MATH(C131, 1), D131)</f>
        <v/>
      </c>
      <c r="F131" t="inlineStr">
        <is>
          <t>OPEN</t>
        </is>
      </c>
      <c r="G131">
        <f>IF(F131="COVERED", E131*10.40, E131*7.55)</f>
        <v/>
      </c>
      <c r="H131" t="n">
        <v>0</v>
      </c>
      <c r="I131">
        <f>H131-G131</f>
        <v/>
      </c>
    </row>
    <row r="132">
      <c r="A132" t="inlineStr">
        <is>
          <t>SB-0104</t>
        </is>
      </c>
      <c r="B132" t="inlineStr">
        <is>
          <t>Vicki Wright</t>
        </is>
      </c>
      <c r="C132" t="n">
        <v>52.4</v>
      </c>
      <c r="D132" t="n">
        <v>50</v>
      </c>
      <c r="E132">
        <f>MAX(CEILING.MATH(C132, 1), D132)</f>
        <v/>
      </c>
      <c r="F132" t="inlineStr">
        <is>
          <t>OPEN</t>
        </is>
      </c>
      <c r="G132">
        <f>IF(F132="COVERED", E132*10.40, E132*7.55)</f>
        <v/>
      </c>
      <c r="H132" t="n">
        <v>0</v>
      </c>
      <c r="I132">
        <f>H132-G132</f>
        <v/>
      </c>
    </row>
    <row r="133">
      <c r="A133" t="inlineStr">
        <is>
          <t>SB-0106</t>
        </is>
      </c>
      <c r="B133" t="inlineStr">
        <is>
          <t>Nicole Martinez</t>
        </is>
      </c>
      <c r="C133" t="n">
        <v>36.9</v>
      </c>
      <c r="D133" t="n">
        <v>28</v>
      </c>
      <c r="E133">
        <f>MAX(CEILING.MATH(C133, 1), D133)</f>
        <v/>
      </c>
      <c r="F133" t="inlineStr">
        <is>
          <t>OPEN</t>
        </is>
      </c>
      <c r="G133">
        <f>IF(F133="COVERED", E133*10.40, E133*7.55)</f>
        <v/>
      </c>
      <c r="H133" t="n">
        <v>0</v>
      </c>
      <c r="I133">
        <f>H133-G133</f>
        <v/>
      </c>
    </row>
    <row r="134">
      <c r="A134" t="inlineStr">
        <is>
          <t>SB-0107</t>
        </is>
      </c>
      <c r="B134" t="inlineStr">
        <is>
          <t>Cameron Perry</t>
        </is>
      </c>
      <c r="C134" t="n">
        <v>47.8</v>
      </c>
      <c r="D134" t="n">
        <v>40</v>
      </c>
      <c r="E134">
        <f>MAX(CEILING.MATH(C134, 1), D134)</f>
        <v/>
      </c>
      <c r="F134" t="inlineStr">
        <is>
          <t>OPEN</t>
        </is>
      </c>
      <c r="G134">
        <f>IF(F134="COVERED", E134*10.40, E134*7.55)</f>
        <v/>
      </c>
      <c r="H134" t="n">
        <v>0</v>
      </c>
      <c r="I134">
        <f>H134-G134</f>
        <v/>
      </c>
    </row>
    <row r="135">
      <c r="A135" t="inlineStr">
        <is>
          <t>SB-0108</t>
        </is>
      </c>
      <c r="B135" t="inlineStr">
        <is>
          <t>Nicole Wood</t>
        </is>
      </c>
      <c r="C135" t="n">
        <v>34</v>
      </c>
      <c r="D135" t="n">
        <v>28</v>
      </c>
      <c r="E135">
        <f>MAX(CEILING.MATH(C135, 1), D135)</f>
        <v/>
      </c>
      <c r="F135" t="inlineStr">
        <is>
          <t>OPEN</t>
        </is>
      </c>
      <c r="G135">
        <f>IF(F135="COVERED", E135*10.40, E135*7.55)</f>
        <v/>
      </c>
      <c r="H135" t="n">
        <v>0</v>
      </c>
      <c r="I135">
        <f>H135-G135</f>
        <v/>
      </c>
    </row>
    <row r="136">
      <c r="A136" t="inlineStr">
        <is>
          <t>SB-0109</t>
        </is>
      </c>
      <c r="B136" t="inlineStr">
        <is>
          <t>Brandy Hart</t>
        </is>
      </c>
      <c r="C136" t="n">
        <v>24.7</v>
      </c>
      <c r="D136" t="n">
        <v>32</v>
      </c>
      <c r="E136">
        <f>MAX(CEILING.MATH(C136, 1), D136)</f>
        <v/>
      </c>
      <c r="F136" t="inlineStr">
        <is>
          <t>OPEN</t>
        </is>
      </c>
      <c r="G136">
        <f>IF(F136="COVERED", E136*10.40, E136*7.55)</f>
        <v/>
      </c>
      <c r="H136" t="n">
        <v>0</v>
      </c>
      <c r="I136">
        <f>H136-G136</f>
        <v/>
      </c>
    </row>
    <row r="137">
      <c r="A137" t="inlineStr">
        <is>
          <t>SB-0110</t>
        </is>
      </c>
      <c r="B137" t="inlineStr">
        <is>
          <t>Denise Miles</t>
        </is>
      </c>
      <c r="C137" t="n">
        <v>34.6</v>
      </c>
      <c r="D137" t="n">
        <v>28</v>
      </c>
      <c r="E137">
        <f>MAX(CEILING.MATH(C137, 1), D137)</f>
        <v/>
      </c>
      <c r="F137" t="inlineStr">
        <is>
          <t>OPEN</t>
        </is>
      </c>
      <c r="G137">
        <f>IF(F137="COVERED", E137*10.40, E137*7.55)</f>
        <v/>
      </c>
      <c r="H137" t="n">
        <v>0</v>
      </c>
      <c r="I137">
        <f>H137-G137</f>
        <v/>
      </c>
    </row>
    <row r="138">
      <c r="A138" t="inlineStr">
        <is>
          <t>SB-0111</t>
        </is>
      </c>
      <c r="B138" t="inlineStr">
        <is>
          <t>David Austin</t>
        </is>
      </c>
      <c r="C138" t="n">
        <v>30.5</v>
      </c>
      <c r="D138" t="n">
        <v>45</v>
      </c>
      <c r="E138">
        <f>MAX(CEILING.MATH(C138, 1), D138)</f>
        <v/>
      </c>
      <c r="F138" t="inlineStr">
        <is>
          <t>OPEN</t>
        </is>
      </c>
      <c r="G138">
        <f>IF(F138="COVERED", E138*10.40, E138*7.55)</f>
        <v/>
      </c>
      <c r="H138" t="n">
        <v>0</v>
      </c>
      <c r="I138">
        <f>H138-G138</f>
        <v/>
      </c>
    </row>
    <row r="139">
      <c r="A139" t="inlineStr">
        <is>
          <t>SB-0112</t>
        </is>
      </c>
      <c r="B139" t="inlineStr">
        <is>
          <t>Donald Jones</t>
        </is>
      </c>
      <c r="C139" t="n">
        <v>49.9</v>
      </c>
      <c r="D139" t="n">
        <v>32</v>
      </c>
      <c r="E139">
        <f>MAX(CEILING.MATH(C139, 1), D139)</f>
        <v/>
      </c>
      <c r="F139" t="inlineStr">
        <is>
          <t>OPEN</t>
        </is>
      </c>
      <c r="G139">
        <f>IF(F139="COVERED", E139*10.40, E139*7.55)</f>
        <v/>
      </c>
      <c r="H139" t="n">
        <v>0</v>
      </c>
      <c r="I139">
        <f>H139-G139</f>
        <v/>
      </c>
    </row>
    <row r="140">
      <c r="A140" t="inlineStr">
        <is>
          <t>SB-0113</t>
        </is>
      </c>
      <c r="B140" t="inlineStr">
        <is>
          <t>Julian Browning</t>
        </is>
      </c>
      <c r="C140" t="n">
        <v>50.7</v>
      </c>
      <c r="D140" t="n">
        <v>36</v>
      </c>
      <c r="E140">
        <f>MAX(CEILING.MATH(C140, 1), D140)</f>
        <v/>
      </c>
      <c r="F140" t="inlineStr">
        <is>
          <t>OPEN</t>
        </is>
      </c>
      <c r="G140">
        <f>IF(F140="COVERED", E140*10.40, E140*7.55)</f>
        <v/>
      </c>
      <c r="H140" t="n">
        <v>0</v>
      </c>
      <c r="I140">
        <f>H140-G140</f>
        <v/>
      </c>
    </row>
    <row r="141">
      <c r="A141" t="inlineStr">
        <is>
          <t>SB-0114</t>
        </is>
      </c>
      <c r="B141" t="inlineStr">
        <is>
          <t>Crystal Porter</t>
        </is>
      </c>
      <c r="C141" t="n">
        <v>21</v>
      </c>
      <c r="D141" t="n">
        <v>32</v>
      </c>
      <c r="E141">
        <f>MAX(CEILING.MATH(C141, 1), D141)</f>
        <v/>
      </c>
      <c r="F141" t="inlineStr">
        <is>
          <t>OPEN</t>
        </is>
      </c>
      <c r="G141">
        <f>IF(F141="COVERED", E141*10.40, E141*7.55)</f>
        <v/>
      </c>
      <c r="H141" t="n">
        <v>0</v>
      </c>
      <c r="I141">
        <f>H141-G141</f>
        <v/>
      </c>
    </row>
    <row r="142">
      <c r="A142" t="inlineStr">
        <is>
          <t>SB-0115</t>
        </is>
      </c>
      <c r="B142" t="inlineStr">
        <is>
          <t>Jessica Duffy</t>
        </is>
      </c>
      <c r="C142" t="n">
        <v>19.8</v>
      </c>
      <c r="D142" t="n">
        <v>24</v>
      </c>
      <c r="E142">
        <f>MAX(CEILING.MATH(C142, 1), D142)</f>
        <v/>
      </c>
      <c r="F142" t="inlineStr">
        <is>
          <t>OPEN</t>
        </is>
      </c>
      <c r="G142">
        <f>IF(F142="COVERED", E142*10.40, E142*7.55)</f>
        <v/>
      </c>
      <c r="H142" t="n">
        <v>0</v>
      </c>
      <c r="I142">
        <f>H142-G142</f>
        <v/>
      </c>
    </row>
    <row r="143">
      <c r="A143" t="inlineStr">
        <is>
          <t>SB-0116</t>
        </is>
      </c>
      <c r="B143" t="inlineStr">
        <is>
          <t>Sonya May</t>
        </is>
      </c>
      <c r="C143" t="n">
        <v>43.2</v>
      </c>
      <c r="D143" t="n">
        <v>70</v>
      </c>
      <c r="E143">
        <f>MAX(CEILING.MATH(C143, 1), D143)</f>
        <v/>
      </c>
      <c r="F143" t="inlineStr">
        <is>
          <t>OPEN</t>
        </is>
      </c>
      <c r="G143">
        <f>IF(F143="COVERED", E143*10.40, E143*7.55)</f>
        <v/>
      </c>
      <c r="H143" t="n">
        <v>0</v>
      </c>
      <c r="I143">
        <f>H143-G143</f>
        <v/>
      </c>
    </row>
    <row r="144">
      <c r="A144" t="inlineStr">
        <is>
          <t>SB-0117</t>
        </is>
      </c>
      <c r="B144" t="inlineStr">
        <is>
          <t>Diamond Zavala</t>
        </is>
      </c>
      <c r="C144" t="n">
        <v>31.6</v>
      </c>
      <c r="D144" t="n">
        <v>24</v>
      </c>
      <c r="E144">
        <f>MAX(CEILING.MATH(C144, 1), D144)</f>
        <v/>
      </c>
      <c r="F144" t="inlineStr">
        <is>
          <t>OPEN</t>
        </is>
      </c>
      <c r="G144">
        <f>IF(F144="COVERED", E144*10.40, E144*7.55)</f>
        <v/>
      </c>
      <c r="H144" t="n">
        <v>0</v>
      </c>
      <c r="I144">
        <f>H144-G144</f>
        <v/>
      </c>
    </row>
    <row r="145">
      <c r="A145" t="inlineStr">
        <is>
          <t>SB-0118</t>
        </is>
      </c>
      <c r="B145" t="inlineStr">
        <is>
          <t>John Escobar</t>
        </is>
      </c>
      <c r="C145" t="n">
        <v>52.3</v>
      </c>
      <c r="D145" t="n">
        <v>60</v>
      </c>
      <c r="E145">
        <f>MAX(CEILING.MATH(C145, 1), D145)</f>
        <v/>
      </c>
      <c r="F145" t="inlineStr">
        <is>
          <t>OPEN</t>
        </is>
      </c>
      <c r="G145">
        <f>IF(F145="COVERED", E145*10.40, E145*7.55)</f>
        <v/>
      </c>
      <c r="H145" t="n">
        <v>0</v>
      </c>
      <c r="I145">
        <f>H145-G145</f>
        <v/>
      </c>
    </row>
    <row r="146">
      <c r="A146" t="inlineStr">
        <is>
          <t>SB-0119</t>
        </is>
      </c>
      <c r="B146" t="inlineStr">
        <is>
          <t>Ashley Martinez</t>
        </is>
      </c>
      <c r="C146" t="n">
        <v>27.8</v>
      </c>
      <c r="D146" t="n">
        <v>32</v>
      </c>
      <c r="E146">
        <f>MAX(CEILING.MATH(C146, 1), D146)</f>
        <v/>
      </c>
      <c r="F146" t="inlineStr">
        <is>
          <t>OPEN</t>
        </is>
      </c>
      <c r="G146">
        <f>IF(F146="COVERED", E146*10.40, E146*7.55)</f>
        <v/>
      </c>
      <c r="H146" t="n">
        <v>0</v>
      </c>
      <c r="I146">
        <f>H146-G146</f>
        <v/>
      </c>
    </row>
    <row r="147">
      <c r="A147" t="inlineStr">
        <is>
          <t>SB-0120</t>
        </is>
      </c>
      <c r="B147" t="inlineStr">
        <is>
          <t>Jenny Miller</t>
        </is>
      </c>
      <c r="C147" t="n">
        <v>57.3</v>
      </c>
      <c r="D147" t="n">
        <v>40</v>
      </c>
      <c r="E147">
        <f>MAX(CEILING.MATH(C147, 1), D147)</f>
        <v/>
      </c>
      <c r="F147" t="inlineStr">
        <is>
          <t>OPEN</t>
        </is>
      </c>
      <c r="G147">
        <f>IF(F147="COVERED", E147*10.40, E147*7.55)</f>
        <v/>
      </c>
      <c r="H147" t="n">
        <v>0</v>
      </c>
      <c r="I147">
        <f>H147-G147</f>
        <v/>
      </c>
    </row>
    <row r="148">
      <c r="A148" t="inlineStr">
        <is>
          <t>SB-0121</t>
        </is>
      </c>
      <c r="B148" t="inlineStr">
        <is>
          <t>Michael Jones</t>
        </is>
      </c>
      <c r="C148" t="n">
        <v>53.4</v>
      </c>
      <c r="D148" t="n">
        <v>80</v>
      </c>
      <c r="E148">
        <f>MAX(CEILING.MATH(C148, 1), D148)</f>
        <v/>
      </c>
      <c r="F148" t="inlineStr">
        <is>
          <t>OPEN</t>
        </is>
      </c>
      <c r="G148">
        <f>IF(F148="COVERED", E148*10.40, E148*7.55)</f>
        <v/>
      </c>
      <c r="H148" t="n">
        <v>0</v>
      </c>
      <c r="I148">
        <f>H148-G148</f>
        <v/>
      </c>
    </row>
    <row r="149">
      <c r="A149" t="inlineStr">
        <is>
          <t>SB-0122</t>
        </is>
      </c>
      <c r="B149" t="inlineStr">
        <is>
          <t>Taylor Ross</t>
        </is>
      </c>
      <c r="C149" t="n">
        <v>23.5</v>
      </c>
      <c r="D149" t="n">
        <v>24</v>
      </c>
      <c r="E149">
        <f>MAX(CEILING.MATH(C149, 1), D149)</f>
        <v/>
      </c>
      <c r="F149" t="inlineStr">
        <is>
          <t>OPEN</t>
        </is>
      </c>
      <c r="G149">
        <f>IF(F149="COVERED", E149*10.40, E149*7.55)</f>
        <v/>
      </c>
      <c r="H149" t="n">
        <v>0</v>
      </c>
      <c r="I149">
        <f>H149-G149</f>
        <v/>
      </c>
    </row>
    <row r="150">
      <c r="A150" t="inlineStr">
        <is>
          <t>SB-0201</t>
        </is>
      </c>
      <c r="B150" t="inlineStr">
        <is>
          <t>Douglas Thompson</t>
        </is>
      </c>
      <c r="C150" t="n">
        <v>39.8</v>
      </c>
      <c r="D150" t="n">
        <v>32</v>
      </c>
      <c r="E150">
        <f>MAX(CEILING.MATH(C150, 1), D150)</f>
        <v/>
      </c>
      <c r="F150" t="inlineStr">
        <is>
          <t>OPEN</t>
        </is>
      </c>
      <c r="G150">
        <f>IF(F150="COVERED", E150*10.40, E150*7.55)</f>
        <v/>
      </c>
      <c r="H150" t="n">
        <v>0</v>
      </c>
      <c r="I150">
        <f>H150-G150</f>
        <v/>
      </c>
    </row>
    <row r="151">
      <c r="A151" t="inlineStr">
        <is>
          <t>SB-0202</t>
        </is>
      </c>
      <c r="B151" t="inlineStr">
        <is>
          <t>Andrea Lopez</t>
        </is>
      </c>
      <c r="C151" t="n">
        <v>57.9</v>
      </c>
      <c r="D151" t="n">
        <v>80</v>
      </c>
      <c r="E151">
        <f>MAX(CEILING.MATH(C151, 1), D151)</f>
        <v/>
      </c>
      <c r="F151" t="inlineStr">
        <is>
          <t>OPEN</t>
        </is>
      </c>
      <c r="G151">
        <f>IF(F151="COVERED", E151*10.40, E151*7.55)</f>
        <v/>
      </c>
      <c r="H151" t="n">
        <v>0</v>
      </c>
      <c r="I151">
        <f>H151-G151</f>
        <v/>
      </c>
    </row>
    <row r="152">
      <c r="A152" t="inlineStr">
        <is>
          <t>SB-0204</t>
        </is>
      </c>
      <c r="B152" t="inlineStr">
        <is>
          <t>Justin Horn</t>
        </is>
      </c>
      <c r="C152" t="n">
        <v>24.6</v>
      </c>
      <c r="D152" t="n">
        <v>32</v>
      </c>
      <c r="E152">
        <f>MAX(CEILING.MATH(C152, 1), D152)</f>
        <v/>
      </c>
      <c r="F152" t="inlineStr">
        <is>
          <t>OPEN</t>
        </is>
      </c>
      <c r="G152">
        <f>IF(F152="COVERED", E152*10.40, E152*7.55)</f>
        <v/>
      </c>
      <c r="H152" t="n">
        <v>0</v>
      </c>
      <c r="I152">
        <f>H152-G152</f>
        <v/>
      </c>
    </row>
    <row r="153">
      <c r="A153" t="inlineStr">
        <is>
          <t>SB-0205</t>
        </is>
      </c>
      <c r="B153" t="inlineStr">
        <is>
          <t>David Davis</t>
        </is>
      </c>
      <c r="C153" t="n">
        <v>48.4</v>
      </c>
      <c r="D153" t="n">
        <v>45</v>
      </c>
      <c r="E153">
        <f>MAX(CEILING.MATH(C153, 1), D153)</f>
        <v/>
      </c>
      <c r="F153" t="inlineStr">
        <is>
          <t>OPEN</t>
        </is>
      </c>
      <c r="G153">
        <f>IF(F153="COVERED", E153*10.40, E153*7.55)</f>
        <v/>
      </c>
      <c r="H153" t="n">
        <v>0</v>
      </c>
      <c r="I153">
        <f>H153-G153</f>
        <v/>
      </c>
    </row>
    <row r="154">
      <c r="A154" t="inlineStr">
        <is>
          <t>SB-0206</t>
        </is>
      </c>
      <c r="B154" t="inlineStr">
        <is>
          <t>Carolyn Murray</t>
        </is>
      </c>
      <c r="C154" t="n">
        <v>27.3</v>
      </c>
      <c r="D154" t="n">
        <v>32</v>
      </c>
      <c r="E154">
        <f>MAX(CEILING.MATH(C154, 1), D154)</f>
        <v/>
      </c>
      <c r="F154" t="inlineStr">
        <is>
          <t>OPEN</t>
        </is>
      </c>
      <c r="G154">
        <f>IF(F154="COVERED", E154*10.40, E154*7.55)</f>
        <v/>
      </c>
      <c r="H154" t="n">
        <v>0</v>
      </c>
      <c r="I154">
        <f>H154-G154</f>
        <v/>
      </c>
    </row>
    <row r="155">
      <c r="A155" t="inlineStr">
        <is>
          <t>SB-0207</t>
        </is>
      </c>
      <c r="B155" t="inlineStr">
        <is>
          <t>Brian Scott</t>
        </is>
      </c>
      <c r="C155" t="n">
        <v>46</v>
      </c>
      <c r="D155" t="n">
        <v>24</v>
      </c>
      <c r="E155">
        <f>MAX(CEILING.MATH(C155, 1), D155)</f>
        <v/>
      </c>
      <c r="F155" t="inlineStr">
        <is>
          <t>OPEN</t>
        </is>
      </c>
      <c r="G155">
        <f>IF(F155="COVERED", E155*10.40, E155*7.55)</f>
        <v/>
      </c>
      <c r="H155" t="n">
        <v>0</v>
      </c>
      <c r="I155">
        <f>H155-G155</f>
        <v/>
      </c>
    </row>
    <row r="156">
      <c r="A156" t="inlineStr">
        <is>
          <t>SB-0208</t>
        </is>
      </c>
      <c r="B156" t="inlineStr">
        <is>
          <t>Donna Henderson</t>
        </is>
      </c>
      <c r="C156" t="n">
        <v>27.6</v>
      </c>
      <c r="D156" t="n">
        <v>24</v>
      </c>
      <c r="E156">
        <f>MAX(CEILING.MATH(C156, 1), D156)</f>
        <v/>
      </c>
      <c r="F156" t="inlineStr">
        <is>
          <t>OPEN</t>
        </is>
      </c>
      <c r="G156">
        <f>IF(F156="COVERED", E156*10.40, E156*7.55)</f>
        <v/>
      </c>
      <c r="H156" t="n">
        <v>0</v>
      </c>
      <c r="I156">
        <f>H156-G156</f>
        <v/>
      </c>
    </row>
    <row r="157">
      <c r="A157" t="inlineStr">
        <is>
          <t>SB-0209</t>
        </is>
      </c>
      <c r="B157" t="inlineStr">
        <is>
          <t>Dustin Lambert</t>
        </is>
      </c>
      <c r="C157" t="n">
        <v>46.5</v>
      </c>
      <c r="D157" t="n">
        <v>24</v>
      </c>
      <c r="E157">
        <f>MAX(CEILING.MATH(C157, 1), D157)</f>
        <v/>
      </c>
      <c r="F157" t="inlineStr">
        <is>
          <t>OPEN</t>
        </is>
      </c>
      <c r="G157">
        <f>IF(F157="COVERED", E157*10.40, E157*7.55)</f>
        <v/>
      </c>
      <c r="H157" t="n">
        <v>0</v>
      </c>
      <c r="I157">
        <f>H157-G157</f>
        <v/>
      </c>
    </row>
    <row r="158">
      <c r="A158" t="inlineStr">
        <is>
          <t>SB-0210</t>
        </is>
      </c>
      <c r="B158" t="inlineStr">
        <is>
          <t>Chris Dixon</t>
        </is>
      </c>
      <c r="C158" t="n">
        <v>39.1</v>
      </c>
      <c r="D158" t="n">
        <v>24</v>
      </c>
      <c r="E158">
        <f>MAX(CEILING.MATH(C158, 1), D158)</f>
        <v/>
      </c>
      <c r="F158" t="inlineStr">
        <is>
          <t>OPEN</t>
        </is>
      </c>
      <c r="G158">
        <f>IF(F158="COVERED", E158*10.40, E158*7.55)</f>
        <v/>
      </c>
      <c r="H158" t="n">
        <v>0</v>
      </c>
      <c r="I158">
        <f>H158-G158</f>
        <v/>
      </c>
    </row>
    <row r="159">
      <c r="A159" t="inlineStr">
        <is>
          <t>SB-0211</t>
        </is>
      </c>
      <c r="B159" t="inlineStr">
        <is>
          <t>Kristen Hughes</t>
        </is>
      </c>
      <c r="C159" t="n">
        <v>60.3</v>
      </c>
      <c r="D159" t="n">
        <v>45</v>
      </c>
      <c r="E159">
        <f>MAX(CEILING.MATH(C159, 1), D159)</f>
        <v/>
      </c>
      <c r="F159" t="inlineStr">
        <is>
          <t>OPEN</t>
        </is>
      </c>
      <c r="G159">
        <f>IF(F159="COVERED", E159*10.40, E159*7.55)</f>
        <v/>
      </c>
      <c r="H159" t="n">
        <v>0</v>
      </c>
      <c r="I159">
        <f>H159-G159</f>
        <v/>
      </c>
    </row>
    <row r="160">
      <c r="A160" t="inlineStr">
        <is>
          <t>SB-0212</t>
        </is>
      </c>
      <c r="B160" t="inlineStr">
        <is>
          <t>Julia Hansen</t>
        </is>
      </c>
      <c r="C160" t="n">
        <v>58.9</v>
      </c>
      <c r="D160" t="n">
        <v>32</v>
      </c>
      <c r="E160">
        <f>MAX(CEILING.MATH(C160, 1), D160)</f>
        <v/>
      </c>
      <c r="F160" t="inlineStr">
        <is>
          <t>OPEN</t>
        </is>
      </c>
      <c r="G160">
        <f>IF(F160="COVERED", E160*10.40, E160*7.55)</f>
        <v/>
      </c>
      <c r="H160" t="n">
        <v>0</v>
      </c>
      <c r="I160">
        <f>H160-G160</f>
        <v/>
      </c>
    </row>
    <row r="161">
      <c r="A161" t="inlineStr">
        <is>
          <t>SB-0213</t>
        </is>
      </c>
      <c r="B161" t="inlineStr">
        <is>
          <t>Benjamin Jimenez</t>
        </is>
      </c>
      <c r="C161" t="n">
        <v>22.7</v>
      </c>
      <c r="D161" t="n">
        <v>40</v>
      </c>
      <c r="E161">
        <f>MAX(CEILING.MATH(C161, 1), D161)</f>
        <v/>
      </c>
      <c r="F161" t="inlineStr">
        <is>
          <t>OPEN</t>
        </is>
      </c>
      <c r="G161">
        <f>IF(F161="COVERED", E161*10.40, E161*7.55)</f>
        <v/>
      </c>
      <c r="H161" t="n">
        <v>0</v>
      </c>
      <c r="I161">
        <f>H161-G161</f>
        <v/>
      </c>
    </row>
    <row r="162">
      <c r="A162" t="inlineStr">
        <is>
          <t>SB-0214</t>
        </is>
      </c>
      <c r="B162" t="inlineStr">
        <is>
          <t>Joshua Diaz</t>
        </is>
      </c>
      <c r="C162" t="n">
        <v>58.1</v>
      </c>
      <c r="D162" t="n">
        <v>28</v>
      </c>
      <c r="E162">
        <f>MAX(CEILING.MATH(C162, 1), D162)</f>
        <v/>
      </c>
      <c r="F162" t="inlineStr">
        <is>
          <t>OPEN</t>
        </is>
      </c>
      <c r="G162">
        <f>IF(F162="COVERED", E162*10.40, E162*7.55)</f>
        <v/>
      </c>
      <c r="H162" t="n">
        <v>0</v>
      </c>
      <c r="I162">
        <f>H162-G162</f>
        <v/>
      </c>
    </row>
    <row r="163">
      <c r="A163" t="inlineStr">
        <is>
          <t>SB-0215</t>
        </is>
      </c>
      <c r="B163" t="inlineStr">
        <is>
          <t>Rose Lee</t>
        </is>
      </c>
      <c r="C163" t="n">
        <v>47.1</v>
      </c>
      <c r="D163" t="n">
        <v>70</v>
      </c>
      <c r="E163">
        <f>MAX(CEILING.MATH(C163, 1), D163)</f>
        <v/>
      </c>
      <c r="F163" t="inlineStr">
        <is>
          <t>OPEN</t>
        </is>
      </c>
      <c r="G163">
        <f>IF(F163="COVERED", E163*10.40, E163*7.55)</f>
        <v/>
      </c>
      <c r="H163" t="n">
        <v>0</v>
      </c>
      <c r="I163">
        <f>H163-G163</f>
        <v/>
      </c>
    </row>
    <row r="164">
      <c r="A164" t="inlineStr">
        <is>
          <t>SB-0216</t>
        </is>
      </c>
      <c r="B164" t="inlineStr">
        <is>
          <t>Nancy Guerrero</t>
        </is>
      </c>
      <c r="C164" t="n">
        <v>37.5</v>
      </c>
      <c r="D164" t="n">
        <v>28</v>
      </c>
      <c r="E164">
        <f>MAX(CEILING.MATH(C164, 1), D164)</f>
        <v/>
      </c>
      <c r="F164" t="inlineStr">
        <is>
          <t>OPEN</t>
        </is>
      </c>
      <c r="G164">
        <f>IF(F164="COVERED", E164*10.40, E164*7.55)</f>
        <v/>
      </c>
      <c r="H164" t="n">
        <v>0</v>
      </c>
      <c r="I164">
        <f>H164-G164</f>
        <v/>
      </c>
    </row>
    <row r="165">
      <c r="A165" t="inlineStr">
        <is>
          <t>SB-0217</t>
        </is>
      </c>
      <c r="B165" t="inlineStr">
        <is>
          <t>Ryan Garza</t>
        </is>
      </c>
      <c r="C165" t="n">
        <v>44.2</v>
      </c>
      <c r="D165" t="n">
        <v>50</v>
      </c>
      <c r="E165">
        <f>MAX(CEILING.MATH(C165, 1), D165)</f>
        <v/>
      </c>
      <c r="F165" t="inlineStr">
        <is>
          <t>OPEN</t>
        </is>
      </c>
      <c r="G165">
        <f>IF(F165="COVERED", E165*10.40, E165*7.55)</f>
        <v/>
      </c>
      <c r="H165" t="n">
        <v>0</v>
      </c>
      <c r="I165">
        <f>H165-G165</f>
        <v/>
      </c>
    </row>
    <row r="166">
      <c r="A166" t="inlineStr">
        <is>
          <t>SB-0218</t>
        </is>
      </c>
      <c r="B166" t="inlineStr">
        <is>
          <t>Thomas Roman</t>
        </is>
      </c>
      <c r="C166" t="n">
        <v>48.8</v>
      </c>
      <c r="D166" t="n">
        <v>50</v>
      </c>
      <c r="E166">
        <f>MAX(CEILING.MATH(C166, 1), D166)</f>
        <v/>
      </c>
      <c r="F166" t="inlineStr">
        <is>
          <t>OPEN</t>
        </is>
      </c>
      <c r="G166">
        <f>IF(F166="COVERED", E166*10.40, E166*7.55)</f>
        <v/>
      </c>
      <c r="H166" t="n">
        <v>0</v>
      </c>
      <c r="I166">
        <f>H166-G166</f>
        <v/>
      </c>
    </row>
    <row r="167">
      <c r="A167" t="inlineStr">
        <is>
          <t>SB-0219</t>
        </is>
      </c>
      <c r="B167" t="inlineStr">
        <is>
          <t>Angela Olson</t>
        </is>
      </c>
      <c r="C167" t="n">
        <v>51.5</v>
      </c>
      <c r="D167" t="n">
        <v>28</v>
      </c>
      <c r="E167">
        <f>MAX(CEILING.MATH(C167, 1), D167)</f>
        <v/>
      </c>
      <c r="F167" t="inlineStr">
        <is>
          <t>OPEN</t>
        </is>
      </c>
      <c r="G167">
        <f>IF(F167="COVERED", E167*10.40, E167*7.55)</f>
        <v/>
      </c>
      <c r="H167" t="n">
        <v>0</v>
      </c>
      <c r="I167">
        <f>H167-G167</f>
        <v/>
      </c>
    </row>
    <row r="168">
      <c r="A168" t="inlineStr">
        <is>
          <t>SB-0220</t>
        </is>
      </c>
      <c r="B168" t="inlineStr">
        <is>
          <t>Shane Lozano</t>
        </is>
      </c>
      <c r="C168" t="n">
        <v>26.4</v>
      </c>
      <c r="D168" t="n">
        <v>40</v>
      </c>
      <c r="E168">
        <f>MAX(CEILING.MATH(C168, 1), D168)</f>
        <v/>
      </c>
      <c r="F168" t="inlineStr">
        <is>
          <t>OPEN</t>
        </is>
      </c>
      <c r="G168">
        <f>IF(F168="COVERED", E168*10.40, E168*7.55)</f>
        <v/>
      </c>
      <c r="H168" t="n">
        <v>0</v>
      </c>
      <c r="I168">
        <f>H168-G168</f>
        <v/>
      </c>
    </row>
    <row r="169">
      <c r="A169" t="inlineStr">
        <is>
          <t>SB-0222</t>
        </is>
      </c>
      <c r="B169" t="inlineStr">
        <is>
          <t>Benjamin Gomez</t>
        </is>
      </c>
      <c r="C169" t="n">
        <v>23.2</v>
      </c>
      <c r="D169" t="n">
        <v>32</v>
      </c>
      <c r="E169">
        <f>MAX(CEILING.MATH(C169, 1), D169)</f>
        <v/>
      </c>
      <c r="F169" t="inlineStr">
        <is>
          <t>OPEN</t>
        </is>
      </c>
      <c r="G169">
        <f>IF(F169="COVERED", E169*10.40, E169*7.55)</f>
        <v/>
      </c>
      <c r="H169" t="n">
        <v>0</v>
      </c>
      <c r="I169">
        <f>H169-G169</f>
        <v/>
      </c>
    </row>
    <row r="170">
      <c r="A170" t="inlineStr">
        <is>
          <t>SB-0223</t>
        </is>
      </c>
      <c r="B170" t="inlineStr">
        <is>
          <t>Anthony Kennedy</t>
        </is>
      </c>
      <c r="C170" t="n">
        <v>48.6</v>
      </c>
      <c r="D170" t="n">
        <v>80</v>
      </c>
      <c r="E170">
        <f>MAX(CEILING.MATH(C170, 1), D170)</f>
        <v/>
      </c>
      <c r="F170" t="inlineStr">
        <is>
          <t>OPEN</t>
        </is>
      </c>
      <c r="G170">
        <f>IF(F170="COVERED", E170*10.40, E170*7.55)</f>
        <v/>
      </c>
      <c r="H170" t="n">
        <v>0</v>
      </c>
      <c r="I170">
        <f>H170-G170</f>
        <v/>
      </c>
    </row>
    <row r="171">
      <c r="A171" t="inlineStr">
        <is>
          <t>SB-0224</t>
        </is>
      </c>
      <c r="B171" t="inlineStr">
        <is>
          <t>Sean Smith</t>
        </is>
      </c>
      <c r="C171" t="n">
        <v>30.9</v>
      </c>
      <c r="D171" t="n">
        <v>32</v>
      </c>
      <c r="E171">
        <f>MAX(CEILING.MATH(C171, 1), D171)</f>
        <v/>
      </c>
      <c r="F171" t="inlineStr">
        <is>
          <t>OPEN</t>
        </is>
      </c>
      <c r="G171">
        <f>IF(F171="COVERED", E171*10.40, E171*7.55)</f>
        <v/>
      </c>
      <c r="H171" t="n">
        <v>0</v>
      </c>
      <c r="I171">
        <f>H171-G171</f>
        <v/>
      </c>
    </row>
    <row r="172">
      <c r="A172" t="inlineStr">
        <is>
          <t>SB-0301</t>
        </is>
      </c>
      <c r="B172" t="inlineStr">
        <is>
          <t>Sarah King</t>
        </is>
      </c>
      <c r="C172" t="n">
        <v>57.4</v>
      </c>
      <c r="D172" t="n">
        <v>70</v>
      </c>
      <c r="E172">
        <f>MAX(CEILING.MATH(C172, 1), D172)</f>
        <v/>
      </c>
      <c r="F172" t="inlineStr">
        <is>
          <t>OPEN</t>
        </is>
      </c>
      <c r="G172">
        <f>IF(F172="COVERED", E172*10.40, E172*7.55)</f>
        <v/>
      </c>
      <c r="H172" t="n">
        <v>0</v>
      </c>
      <c r="I172">
        <f>H172-G172</f>
        <v/>
      </c>
    </row>
    <row r="173">
      <c r="A173" t="inlineStr">
        <is>
          <t>SB-0302</t>
        </is>
      </c>
      <c r="B173" t="inlineStr">
        <is>
          <t>Charles Thomas</t>
        </is>
      </c>
      <c r="C173" t="n">
        <v>20.7</v>
      </c>
      <c r="D173" t="n">
        <v>28</v>
      </c>
      <c r="E173">
        <f>MAX(CEILING.MATH(C173, 1), D173)</f>
        <v/>
      </c>
      <c r="F173" t="inlineStr">
        <is>
          <t>OPEN</t>
        </is>
      </c>
      <c r="G173">
        <f>IF(F173="COVERED", E173*10.40, E173*7.55)</f>
        <v/>
      </c>
      <c r="H173" t="n">
        <v>0</v>
      </c>
      <c r="I173">
        <f>H173-G173</f>
        <v/>
      </c>
    </row>
    <row r="174">
      <c r="A174" t="inlineStr">
        <is>
          <t>SB-0303</t>
        </is>
      </c>
      <c r="B174" t="inlineStr">
        <is>
          <t>Ana Christian</t>
        </is>
      </c>
      <c r="C174" t="n">
        <v>30</v>
      </c>
      <c r="D174" t="n">
        <v>24</v>
      </c>
      <c r="E174">
        <f>MAX(CEILING.MATH(C174, 1), D174)</f>
        <v/>
      </c>
      <c r="F174" t="inlineStr">
        <is>
          <t>OPEN</t>
        </is>
      </c>
      <c r="G174">
        <f>IF(F174="COVERED", E174*10.40, E174*7.55)</f>
        <v/>
      </c>
      <c r="H174" t="n">
        <v>0</v>
      </c>
      <c r="I174">
        <f>H174-G174</f>
        <v/>
      </c>
    </row>
    <row r="175">
      <c r="A175" t="inlineStr">
        <is>
          <t>SB-0304</t>
        </is>
      </c>
      <c r="B175" t="inlineStr">
        <is>
          <t>Sara Jackson</t>
        </is>
      </c>
      <c r="C175" t="n">
        <v>58.1</v>
      </c>
      <c r="D175" t="n">
        <v>24</v>
      </c>
      <c r="E175">
        <f>MAX(CEILING.MATH(C175, 1), D175)</f>
        <v/>
      </c>
      <c r="F175" t="inlineStr">
        <is>
          <t>OPEN</t>
        </is>
      </c>
      <c r="G175">
        <f>IF(F175="COVERED", E175*10.40, E175*7.55)</f>
        <v/>
      </c>
      <c r="H175" t="n">
        <v>0</v>
      </c>
      <c r="I175">
        <f>H175-G175</f>
        <v/>
      </c>
    </row>
    <row r="176">
      <c r="A176" t="inlineStr">
        <is>
          <t>SB-0305</t>
        </is>
      </c>
      <c r="B176" t="inlineStr">
        <is>
          <t>David Sutton</t>
        </is>
      </c>
      <c r="C176" t="n">
        <v>58.3</v>
      </c>
      <c r="D176" t="n">
        <v>70</v>
      </c>
      <c r="E176">
        <f>MAX(CEILING.MATH(C176, 1), D176)</f>
        <v/>
      </c>
      <c r="F176" t="inlineStr">
        <is>
          <t>OPEN</t>
        </is>
      </c>
      <c r="G176">
        <f>IF(F176="COVERED", E176*10.40, E176*7.55)</f>
        <v/>
      </c>
      <c r="H176" t="n">
        <v>0</v>
      </c>
      <c r="I176">
        <f>H176-G176</f>
        <v/>
      </c>
    </row>
    <row r="177">
      <c r="A177" t="inlineStr">
        <is>
          <t>SB-0306</t>
        </is>
      </c>
      <c r="B177" t="inlineStr">
        <is>
          <t>William Washington</t>
        </is>
      </c>
      <c r="C177" t="n">
        <v>35.4</v>
      </c>
      <c r="D177" t="n">
        <v>70</v>
      </c>
      <c r="E177">
        <f>MAX(CEILING.MATH(C177, 1), D177)</f>
        <v/>
      </c>
      <c r="F177" t="inlineStr">
        <is>
          <t>OPEN</t>
        </is>
      </c>
      <c r="G177">
        <f>IF(F177="COVERED", E177*10.40, E177*7.55)</f>
        <v/>
      </c>
      <c r="H177" t="n">
        <v>0</v>
      </c>
      <c r="I177">
        <f>H177-G177</f>
        <v/>
      </c>
    </row>
    <row r="178">
      <c r="A178" t="inlineStr">
        <is>
          <t>SB-0307</t>
        </is>
      </c>
      <c r="B178" t="inlineStr">
        <is>
          <t>Michael Diaz</t>
        </is>
      </c>
      <c r="C178" t="n">
        <v>60.3</v>
      </c>
      <c r="D178" t="n">
        <v>32</v>
      </c>
      <c r="E178">
        <f>MAX(CEILING.MATH(C178, 1), D178)</f>
        <v/>
      </c>
      <c r="F178" t="inlineStr">
        <is>
          <t>OPEN</t>
        </is>
      </c>
      <c r="G178">
        <f>IF(F178="COVERED", E178*10.40, E178*7.55)</f>
        <v/>
      </c>
      <c r="H178" t="n">
        <v>0</v>
      </c>
      <c r="I178">
        <f>H178-G178</f>
        <v/>
      </c>
    </row>
    <row r="179">
      <c r="A179" t="inlineStr">
        <is>
          <t>SB-0308</t>
        </is>
      </c>
      <c r="B179" t="inlineStr">
        <is>
          <t>Peter Johnson</t>
        </is>
      </c>
      <c r="C179" t="n">
        <v>20.9</v>
      </c>
      <c r="D179" t="n">
        <v>50</v>
      </c>
      <c r="E179">
        <f>MAX(CEILING.MATH(C179, 1), D179)</f>
        <v/>
      </c>
      <c r="F179" t="inlineStr">
        <is>
          <t>OPEN</t>
        </is>
      </c>
      <c r="G179">
        <f>IF(F179="COVERED", E179*10.40, E179*7.55)</f>
        <v/>
      </c>
      <c r="H179" t="n">
        <v>0</v>
      </c>
      <c r="I179">
        <f>H179-G179</f>
        <v/>
      </c>
    </row>
    <row r="180">
      <c r="A180" t="inlineStr">
        <is>
          <t>SB-0309</t>
        </is>
      </c>
      <c r="B180" t="inlineStr">
        <is>
          <t>Tiffany Smith</t>
        </is>
      </c>
      <c r="C180" t="n">
        <v>26.6</v>
      </c>
      <c r="D180" t="n">
        <v>40</v>
      </c>
      <c r="E180">
        <f>MAX(CEILING.MATH(C180, 1), D180)</f>
        <v/>
      </c>
      <c r="F180" t="inlineStr">
        <is>
          <t>OPEN</t>
        </is>
      </c>
      <c r="G180">
        <f>IF(F180="COVERED", E180*10.40, E180*7.55)</f>
        <v/>
      </c>
      <c r="H180" t="n">
        <v>0</v>
      </c>
      <c r="I180">
        <f>H180-G180</f>
        <v/>
      </c>
    </row>
    <row r="181">
      <c r="A181" t="inlineStr">
        <is>
          <t>SB-0311</t>
        </is>
      </c>
      <c r="B181" t="inlineStr">
        <is>
          <t>Jillian Curry</t>
        </is>
      </c>
      <c r="C181" t="n">
        <v>43.8</v>
      </c>
      <c r="D181" t="n">
        <v>28</v>
      </c>
      <c r="E181">
        <f>MAX(CEILING.MATH(C181, 1), D181)</f>
        <v/>
      </c>
      <c r="F181" t="inlineStr">
        <is>
          <t>OPEN</t>
        </is>
      </c>
      <c r="G181">
        <f>IF(F181="COVERED", E181*10.40, E181*7.55)</f>
        <v/>
      </c>
      <c r="H181" t="n">
        <v>0</v>
      </c>
      <c r="I181">
        <f>H181-G181</f>
        <v/>
      </c>
    </row>
    <row r="182">
      <c r="A182" t="inlineStr">
        <is>
          <t>SB-0312</t>
        </is>
      </c>
      <c r="B182" t="inlineStr">
        <is>
          <t>Erin Morris</t>
        </is>
      </c>
      <c r="C182" t="n">
        <v>37.7</v>
      </c>
      <c r="D182" t="n">
        <v>50</v>
      </c>
      <c r="E182">
        <f>MAX(CEILING.MATH(C182, 1), D182)</f>
        <v/>
      </c>
      <c r="F182" t="inlineStr">
        <is>
          <t>OPEN</t>
        </is>
      </c>
      <c r="G182">
        <f>IF(F182="COVERED", E182*10.40, E182*7.55)</f>
        <v/>
      </c>
      <c r="H182" t="n">
        <v>0</v>
      </c>
      <c r="I182">
        <f>H182-G182</f>
        <v/>
      </c>
    </row>
    <row r="183">
      <c r="A183" t="inlineStr">
        <is>
          <t>SB-0313</t>
        </is>
      </c>
      <c r="B183" t="inlineStr">
        <is>
          <t>Lisa Palmer</t>
        </is>
      </c>
      <c r="C183" t="n">
        <v>52.1</v>
      </c>
      <c r="D183" t="n">
        <v>24</v>
      </c>
      <c r="E183">
        <f>MAX(CEILING.MATH(C183, 1), D183)</f>
        <v/>
      </c>
      <c r="F183" t="inlineStr">
        <is>
          <t>OPEN</t>
        </is>
      </c>
      <c r="G183">
        <f>IF(F183="COVERED", E183*10.40, E183*7.55)</f>
        <v/>
      </c>
      <c r="H183" t="n">
        <v>0</v>
      </c>
      <c r="I183">
        <f>H183-G183</f>
        <v/>
      </c>
    </row>
    <row r="184">
      <c r="A184" t="inlineStr">
        <is>
          <t>SB-0314</t>
        </is>
      </c>
      <c r="B184" t="inlineStr">
        <is>
          <t>Eileen Norris</t>
        </is>
      </c>
      <c r="C184" t="n">
        <v>59.9</v>
      </c>
      <c r="D184" t="n">
        <v>70</v>
      </c>
      <c r="E184">
        <f>MAX(CEILING.MATH(C184, 1), D184)</f>
        <v/>
      </c>
      <c r="F184" t="inlineStr">
        <is>
          <t>OPEN</t>
        </is>
      </c>
      <c r="G184">
        <f>IF(F184="COVERED", E184*10.40, E184*7.55)</f>
        <v/>
      </c>
      <c r="H184" t="n">
        <v>0</v>
      </c>
      <c r="I184">
        <f>H184-G184</f>
        <v/>
      </c>
    </row>
    <row r="185">
      <c r="A185" t="inlineStr">
        <is>
          <t>SB-0315</t>
        </is>
      </c>
      <c r="B185" t="inlineStr">
        <is>
          <t>Brian Taylor</t>
        </is>
      </c>
      <c r="C185" t="n">
        <v>55.5</v>
      </c>
      <c r="D185" t="n">
        <v>24</v>
      </c>
      <c r="E185">
        <f>MAX(CEILING.MATH(C185, 1), D185)</f>
        <v/>
      </c>
      <c r="F185" t="inlineStr">
        <is>
          <t>OPEN</t>
        </is>
      </c>
      <c r="G185">
        <f>IF(F185="COVERED", E185*10.40, E185*7.55)</f>
        <v/>
      </c>
      <c r="H185" t="n">
        <v>0</v>
      </c>
      <c r="I185">
        <f>H185-G185</f>
        <v/>
      </c>
    </row>
    <row r="186">
      <c r="A186" t="inlineStr">
        <is>
          <t>SB-0316</t>
        </is>
      </c>
      <c r="B186" t="inlineStr">
        <is>
          <t>Jacqueline Daniels</t>
        </is>
      </c>
      <c r="C186" t="n">
        <v>32.9</v>
      </c>
      <c r="D186" t="n">
        <v>24</v>
      </c>
      <c r="E186">
        <f>MAX(CEILING.MATH(C186, 1), D186)</f>
        <v/>
      </c>
      <c r="F186" t="inlineStr">
        <is>
          <t>OPEN</t>
        </is>
      </c>
      <c r="G186">
        <f>IF(F186="COVERED", E186*10.40, E186*7.55)</f>
        <v/>
      </c>
      <c r="H186" t="n">
        <v>0</v>
      </c>
      <c r="I186">
        <f>H186-G186</f>
        <v/>
      </c>
    </row>
    <row r="187">
      <c r="A187" t="inlineStr">
        <is>
          <t>SB-0317</t>
        </is>
      </c>
      <c r="B187" t="inlineStr">
        <is>
          <t>Blake Webb</t>
        </is>
      </c>
      <c r="C187" t="n">
        <v>45.8</v>
      </c>
      <c r="D187" t="n">
        <v>28</v>
      </c>
      <c r="E187">
        <f>MAX(CEILING.MATH(C187, 1), D187)</f>
        <v/>
      </c>
      <c r="F187" t="inlineStr">
        <is>
          <t>OPEN</t>
        </is>
      </c>
      <c r="G187">
        <f>IF(F187="COVERED", E187*10.40, E187*7.55)</f>
        <v/>
      </c>
      <c r="H187" t="n">
        <v>0</v>
      </c>
      <c r="I187">
        <f>H187-G187</f>
        <v/>
      </c>
    </row>
    <row r="188">
      <c r="A188" t="inlineStr">
        <is>
          <t>SB-0318</t>
        </is>
      </c>
      <c r="B188" t="inlineStr">
        <is>
          <t>Timothy Wood</t>
        </is>
      </c>
      <c r="C188" t="n">
        <v>27.1</v>
      </c>
      <c r="D188" t="n">
        <v>28</v>
      </c>
      <c r="E188">
        <f>MAX(CEILING.MATH(C188, 1), D188)</f>
        <v/>
      </c>
      <c r="F188" t="inlineStr">
        <is>
          <t>OPEN</t>
        </is>
      </c>
      <c r="G188">
        <f>IF(F188="COVERED", E188*10.40, E188*7.55)</f>
        <v/>
      </c>
      <c r="H188" t="n">
        <v>0</v>
      </c>
      <c r="I188">
        <f>H188-G188</f>
        <v/>
      </c>
    </row>
    <row r="189">
      <c r="A189" t="inlineStr">
        <is>
          <t>SB-0319</t>
        </is>
      </c>
      <c r="B189" t="inlineStr">
        <is>
          <t>Anna Bishop</t>
        </is>
      </c>
      <c r="C189" t="n">
        <v>53.4</v>
      </c>
      <c r="D189" t="n">
        <v>32</v>
      </c>
      <c r="E189">
        <f>MAX(CEILING.MATH(C189, 1), D189)</f>
        <v/>
      </c>
      <c r="F189" t="inlineStr">
        <is>
          <t>OPEN</t>
        </is>
      </c>
      <c r="G189">
        <f>IF(F189="COVERED", E189*10.40, E189*7.55)</f>
        <v/>
      </c>
      <c r="H189" t="n">
        <v>0</v>
      </c>
      <c r="I189">
        <f>H189-G189</f>
        <v/>
      </c>
    </row>
    <row r="190">
      <c r="A190" t="inlineStr">
        <is>
          <t>SB-0320</t>
        </is>
      </c>
      <c r="B190" t="inlineStr">
        <is>
          <t>Robert Patel</t>
        </is>
      </c>
      <c r="C190" t="n">
        <v>28.9</v>
      </c>
      <c r="D190" t="n">
        <v>36</v>
      </c>
      <c r="E190">
        <f>MAX(CEILING.MATH(C190, 1), D190)</f>
        <v/>
      </c>
      <c r="F190" t="inlineStr">
        <is>
          <t>OPEN</t>
        </is>
      </c>
      <c r="G190">
        <f>IF(F190="COVERED", E190*10.40, E190*7.55)</f>
        <v/>
      </c>
      <c r="H190" t="n">
        <v>0</v>
      </c>
      <c r="I190">
        <f>H190-G190</f>
        <v/>
      </c>
    </row>
    <row r="191">
      <c r="A191" t="inlineStr">
        <is>
          <t>SB-0321</t>
        </is>
      </c>
      <c r="B191" t="inlineStr">
        <is>
          <t>William Martinez</t>
        </is>
      </c>
      <c r="C191" t="n">
        <v>24</v>
      </c>
      <c r="D191" t="n">
        <v>45</v>
      </c>
      <c r="E191">
        <f>MAX(CEILING.MATH(C191, 1), D191)</f>
        <v/>
      </c>
      <c r="F191" t="inlineStr">
        <is>
          <t>OPEN</t>
        </is>
      </c>
      <c r="G191">
        <f>IF(F191="COVERED", E191*10.40, E191*7.55)</f>
        <v/>
      </c>
      <c r="H191" t="n">
        <v>0</v>
      </c>
      <c r="I191">
        <f>H191-G191</f>
        <v/>
      </c>
    </row>
    <row r="192">
      <c r="A192" t="inlineStr">
        <is>
          <t>SB-0322</t>
        </is>
      </c>
      <c r="B192" t="inlineStr">
        <is>
          <t>Steven Robinson</t>
        </is>
      </c>
      <c r="C192" t="n">
        <v>35.5</v>
      </c>
      <c r="D192" t="n">
        <v>24</v>
      </c>
      <c r="E192">
        <f>MAX(CEILING.MATH(C192, 1), D192)</f>
        <v/>
      </c>
      <c r="F192" t="inlineStr">
        <is>
          <t>OPEN</t>
        </is>
      </c>
      <c r="G192">
        <f>IF(F192="COVERED", E192*10.40, E192*7.55)</f>
        <v/>
      </c>
      <c r="H192" t="n">
        <v>0</v>
      </c>
      <c r="I192">
        <f>H192-G192</f>
        <v/>
      </c>
    </row>
    <row r="193">
      <c r="A193" t="inlineStr">
        <is>
          <t>SB-0323</t>
        </is>
      </c>
      <c r="B193" t="inlineStr">
        <is>
          <t>Thomas Robinson</t>
        </is>
      </c>
      <c r="C193" t="n">
        <v>47.1</v>
      </c>
      <c r="D193" t="n">
        <v>70</v>
      </c>
      <c r="E193">
        <f>MAX(CEILING.MATH(C193, 1), D193)</f>
        <v/>
      </c>
      <c r="F193" t="inlineStr">
        <is>
          <t>OPEN</t>
        </is>
      </c>
      <c r="G193">
        <f>IF(F193="COVERED", E193*10.40, E193*7.55)</f>
        <v/>
      </c>
      <c r="H193" t="n">
        <v>0</v>
      </c>
      <c r="I193">
        <f>H193-G193</f>
        <v/>
      </c>
    </row>
    <row r="194">
      <c r="A194" t="inlineStr">
        <is>
          <t>SB-0324</t>
        </is>
      </c>
      <c r="B194" t="inlineStr">
        <is>
          <t>Matthew May</t>
        </is>
      </c>
      <c r="C194" t="n">
        <v>48.1</v>
      </c>
      <c r="D194" t="n">
        <v>32</v>
      </c>
      <c r="E194">
        <f>MAX(CEILING.MATH(C194, 1), D194)</f>
        <v/>
      </c>
      <c r="F194" t="inlineStr">
        <is>
          <t>OPEN</t>
        </is>
      </c>
      <c r="G194">
        <f>IF(F194="COVERED", E194*10.40, E194*7.55)</f>
        <v/>
      </c>
      <c r="H194" t="n">
        <v>0</v>
      </c>
      <c r="I194">
        <f>H194-G194</f>
        <v/>
      </c>
    </row>
    <row r="195">
      <c r="A195" t="inlineStr">
        <is>
          <t>SB-0401</t>
        </is>
      </c>
      <c r="B195" t="inlineStr">
        <is>
          <t>Denise Mitchell</t>
        </is>
      </c>
      <c r="C195" t="n">
        <v>23.8</v>
      </c>
      <c r="D195" t="n">
        <v>60</v>
      </c>
      <c r="E195">
        <f>MAX(CEILING.MATH(C195, 1), D195)</f>
        <v/>
      </c>
      <c r="F195" t="inlineStr">
        <is>
          <t>OPEN</t>
        </is>
      </c>
      <c r="G195">
        <f>IF(F195="COVERED", E195*10.40, E195*7.55)</f>
        <v/>
      </c>
      <c r="H195" t="n">
        <v>0</v>
      </c>
      <c r="I195">
        <f>H195-G195</f>
        <v/>
      </c>
    </row>
    <row r="196">
      <c r="A196" t="inlineStr">
        <is>
          <t>SB-0402</t>
        </is>
      </c>
      <c r="B196" t="inlineStr">
        <is>
          <t>Brian Rosario</t>
        </is>
      </c>
      <c r="C196" t="n">
        <v>53.9</v>
      </c>
      <c r="D196" t="n">
        <v>32</v>
      </c>
      <c r="E196">
        <f>MAX(CEILING.MATH(C196, 1), D196)</f>
        <v/>
      </c>
      <c r="F196" t="inlineStr">
        <is>
          <t>OPEN</t>
        </is>
      </c>
      <c r="G196">
        <f>IF(F196="COVERED", E196*10.40, E196*7.55)</f>
        <v/>
      </c>
      <c r="H196" t="n">
        <v>0</v>
      </c>
      <c r="I196">
        <f>H196-G196</f>
        <v/>
      </c>
    </row>
    <row r="197">
      <c r="A197" t="inlineStr">
        <is>
          <t>SB-0403</t>
        </is>
      </c>
      <c r="B197" t="inlineStr">
        <is>
          <t>Martha Cook</t>
        </is>
      </c>
      <c r="C197" t="n">
        <v>47.7</v>
      </c>
      <c r="D197" t="n">
        <v>24</v>
      </c>
      <c r="E197">
        <f>MAX(CEILING.MATH(C197, 1), D197)</f>
        <v/>
      </c>
      <c r="F197" t="inlineStr">
        <is>
          <t>OPEN</t>
        </is>
      </c>
      <c r="G197">
        <f>IF(F197="COVERED", E197*10.40, E197*7.55)</f>
        <v/>
      </c>
      <c r="H197" t="n">
        <v>0</v>
      </c>
      <c r="I197">
        <f>H197-G197</f>
        <v/>
      </c>
    </row>
    <row r="198">
      <c r="A198" t="inlineStr">
        <is>
          <t>SB-0404</t>
        </is>
      </c>
      <c r="B198" t="inlineStr">
        <is>
          <t>Alexander Lawrence</t>
        </is>
      </c>
      <c r="C198" t="n">
        <v>54.9</v>
      </c>
      <c r="D198" t="n">
        <v>40</v>
      </c>
      <c r="E198">
        <f>MAX(CEILING.MATH(C198, 1), D198)</f>
        <v/>
      </c>
      <c r="F198" t="inlineStr">
        <is>
          <t>OPEN</t>
        </is>
      </c>
      <c r="G198">
        <f>IF(F198="COVERED", E198*10.40, E198*7.55)</f>
        <v/>
      </c>
      <c r="H198" t="n">
        <v>0</v>
      </c>
      <c r="I198">
        <f>H198-G198</f>
        <v/>
      </c>
    </row>
    <row r="199">
      <c r="A199" t="inlineStr">
        <is>
          <t>SB-0405</t>
        </is>
      </c>
      <c r="B199" t="inlineStr">
        <is>
          <t>Ashley Wilson</t>
        </is>
      </c>
      <c r="C199" t="n">
        <v>57.3</v>
      </c>
      <c r="D199" t="n">
        <v>45</v>
      </c>
      <c r="E199">
        <f>MAX(CEILING.MATH(C199, 1), D199)</f>
        <v/>
      </c>
      <c r="F199" t="inlineStr">
        <is>
          <t>OPEN</t>
        </is>
      </c>
      <c r="G199">
        <f>IF(F199="COVERED", E199*10.40, E199*7.55)</f>
        <v/>
      </c>
      <c r="H199" t="n">
        <v>0</v>
      </c>
      <c r="I199">
        <f>H199-G199</f>
        <v/>
      </c>
    </row>
    <row r="200">
      <c r="A200" t="inlineStr">
        <is>
          <t>SB-0406</t>
        </is>
      </c>
      <c r="B200" t="inlineStr">
        <is>
          <t>Jon Suarez</t>
        </is>
      </c>
      <c r="C200" t="n">
        <v>55.3</v>
      </c>
      <c r="D200" t="n">
        <v>40</v>
      </c>
      <c r="E200">
        <f>MAX(CEILING.MATH(C200, 1), D200)</f>
        <v/>
      </c>
      <c r="F200" t="inlineStr">
        <is>
          <t>OPEN</t>
        </is>
      </c>
      <c r="G200">
        <f>IF(F200="COVERED", E200*10.40, E200*7.55)</f>
        <v/>
      </c>
      <c r="H200" t="n">
        <v>0</v>
      </c>
      <c r="I200">
        <f>H200-G200</f>
        <v/>
      </c>
    </row>
    <row r="201">
      <c r="A201" t="inlineStr">
        <is>
          <t>SB-0407</t>
        </is>
      </c>
      <c r="B201" t="inlineStr">
        <is>
          <t>Janice Collins</t>
        </is>
      </c>
      <c r="C201" t="n">
        <v>32.7</v>
      </c>
      <c r="D201" t="n">
        <v>24</v>
      </c>
      <c r="E201">
        <f>MAX(CEILING.MATH(C201, 1), D201)</f>
        <v/>
      </c>
      <c r="F201" t="inlineStr">
        <is>
          <t>OPEN</t>
        </is>
      </c>
      <c r="G201">
        <f>IF(F201="COVERED", E201*10.40, E201*7.55)</f>
        <v/>
      </c>
      <c r="H201" t="n">
        <v>0</v>
      </c>
      <c r="I201">
        <f>H201-G201</f>
        <v/>
      </c>
    </row>
    <row r="202">
      <c r="A202" t="inlineStr">
        <is>
          <t>SB-0408</t>
        </is>
      </c>
      <c r="B202" t="inlineStr">
        <is>
          <t>Alexander Ferguson</t>
        </is>
      </c>
      <c r="C202" t="n">
        <v>50.7</v>
      </c>
      <c r="D202" t="n">
        <v>28</v>
      </c>
      <c r="E202">
        <f>MAX(CEILING.MATH(C202, 1), D202)</f>
        <v/>
      </c>
      <c r="F202" t="inlineStr">
        <is>
          <t>OPEN</t>
        </is>
      </c>
      <c r="G202">
        <f>IF(F202="COVERED", E202*10.40, E202*7.55)</f>
        <v/>
      </c>
      <c r="H202" t="n">
        <v>0</v>
      </c>
      <c r="I202">
        <f>H202-G202</f>
        <v/>
      </c>
    </row>
    <row r="203">
      <c r="A203" t="inlineStr">
        <is>
          <t>SB-0409</t>
        </is>
      </c>
      <c r="B203" t="inlineStr">
        <is>
          <t>John Powell</t>
        </is>
      </c>
      <c r="C203" t="n">
        <v>28.6</v>
      </c>
      <c r="D203" t="n">
        <v>40</v>
      </c>
      <c r="E203">
        <f>MAX(CEILING.MATH(C203, 1), D203)</f>
        <v/>
      </c>
      <c r="F203" t="inlineStr">
        <is>
          <t>OPEN</t>
        </is>
      </c>
      <c r="G203">
        <f>IF(F203="COVERED", E203*10.40, E203*7.55)</f>
        <v/>
      </c>
      <c r="H203" t="n">
        <v>0</v>
      </c>
      <c r="I203">
        <f>H203-G203</f>
        <v/>
      </c>
    </row>
    <row r="204">
      <c r="A204" t="inlineStr">
        <is>
          <t>SB-0410</t>
        </is>
      </c>
      <c r="B204" t="inlineStr">
        <is>
          <t>Billy Cummings</t>
        </is>
      </c>
      <c r="C204" t="n">
        <v>31.4</v>
      </c>
      <c r="D204" t="n">
        <v>24</v>
      </c>
      <c r="E204">
        <f>MAX(CEILING.MATH(C204, 1), D204)</f>
        <v/>
      </c>
      <c r="F204" t="inlineStr">
        <is>
          <t>OPEN</t>
        </is>
      </c>
      <c r="G204">
        <f>IF(F204="COVERED", E204*10.40, E204*7.55)</f>
        <v/>
      </c>
      <c r="H204" t="n">
        <v>0</v>
      </c>
      <c r="I204">
        <f>H204-G204</f>
        <v/>
      </c>
    </row>
    <row r="205">
      <c r="A205" t="inlineStr">
        <is>
          <t>SB-0411</t>
        </is>
      </c>
      <c r="B205" t="inlineStr">
        <is>
          <t>Susan Decker</t>
        </is>
      </c>
      <c r="C205" t="n">
        <v>28.3</v>
      </c>
      <c r="D205" t="n">
        <v>24</v>
      </c>
      <c r="E205">
        <f>MAX(CEILING.MATH(C205, 1), D205)</f>
        <v/>
      </c>
      <c r="F205" t="inlineStr">
        <is>
          <t>OPEN</t>
        </is>
      </c>
      <c r="G205">
        <f>IF(F205="COVERED", E205*10.40, E205*7.55)</f>
        <v/>
      </c>
      <c r="H205" t="n">
        <v>0</v>
      </c>
      <c r="I205">
        <f>H205-G205</f>
        <v/>
      </c>
    </row>
    <row r="206">
      <c r="A206" t="inlineStr">
        <is>
          <t>SB-0412</t>
        </is>
      </c>
      <c r="B206" t="inlineStr">
        <is>
          <t>Cody Jackson</t>
        </is>
      </c>
      <c r="C206" t="n">
        <v>53.3</v>
      </c>
      <c r="D206" t="n">
        <v>70</v>
      </c>
      <c r="E206">
        <f>MAX(CEILING.MATH(C206, 1), D206)</f>
        <v/>
      </c>
      <c r="F206" t="inlineStr">
        <is>
          <t>OPEN</t>
        </is>
      </c>
      <c r="G206">
        <f>IF(F206="COVERED", E206*10.40, E206*7.55)</f>
        <v/>
      </c>
      <c r="H206" t="n">
        <v>0</v>
      </c>
      <c r="I206">
        <f>H206-G206</f>
        <v/>
      </c>
    </row>
    <row r="207">
      <c r="A207" t="inlineStr">
        <is>
          <t>SB-0413</t>
        </is>
      </c>
      <c r="B207" t="inlineStr">
        <is>
          <t>Daniel Wallace</t>
        </is>
      </c>
      <c r="C207" t="n">
        <v>27.8</v>
      </c>
      <c r="D207" t="n">
        <v>45</v>
      </c>
      <c r="E207">
        <f>MAX(CEILING.MATH(C207, 1), D207)</f>
        <v/>
      </c>
      <c r="F207" t="inlineStr">
        <is>
          <t>OPEN</t>
        </is>
      </c>
      <c r="G207">
        <f>IF(F207="COVERED", E207*10.40, E207*7.55)</f>
        <v/>
      </c>
      <c r="H207" t="n">
        <v>0</v>
      </c>
      <c r="I207">
        <f>H207-G207</f>
        <v/>
      </c>
    </row>
    <row r="208">
      <c r="A208" t="inlineStr">
        <is>
          <t>SB-0414</t>
        </is>
      </c>
      <c r="B208" t="inlineStr">
        <is>
          <t>Brenda Cruz</t>
        </is>
      </c>
      <c r="C208" t="n">
        <v>59.1</v>
      </c>
      <c r="D208" t="n">
        <v>32</v>
      </c>
      <c r="E208">
        <f>MAX(CEILING.MATH(C208, 1), D208)</f>
        <v/>
      </c>
      <c r="F208" t="inlineStr">
        <is>
          <t>OPEN</t>
        </is>
      </c>
      <c r="G208">
        <f>IF(F208="COVERED", E208*10.40, E208*7.55)</f>
        <v/>
      </c>
      <c r="H208" t="n">
        <v>0</v>
      </c>
      <c r="I208">
        <f>H208-G208</f>
        <v/>
      </c>
    </row>
    <row r="209">
      <c r="A209" t="inlineStr">
        <is>
          <t>SB-0415</t>
        </is>
      </c>
      <c r="B209" t="inlineStr">
        <is>
          <t>Julie Crane</t>
        </is>
      </c>
      <c r="C209" t="n">
        <v>41.5</v>
      </c>
      <c r="D209" t="n">
        <v>28</v>
      </c>
      <c r="E209">
        <f>MAX(CEILING.MATH(C209, 1), D209)</f>
        <v/>
      </c>
      <c r="F209" t="inlineStr">
        <is>
          <t>OPEN</t>
        </is>
      </c>
      <c r="G209">
        <f>IF(F209="COVERED", E209*10.40, E209*7.55)</f>
        <v/>
      </c>
      <c r="H209" t="n">
        <v>0</v>
      </c>
      <c r="I209">
        <f>H209-G209</f>
        <v/>
      </c>
    </row>
    <row r="210">
      <c r="A210" t="inlineStr">
        <is>
          <t>SB-0416</t>
        </is>
      </c>
      <c r="B210" t="inlineStr">
        <is>
          <t>Jacob Hanna</t>
        </is>
      </c>
      <c r="C210" t="n">
        <v>41.9</v>
      </c>
      <c r="D210" t="n">
        <v>28</v>
      </c>
      <c r="E210">
        <f>MAX(CEILING.MATH(C210, 1), D210)</f>
        <v/>
      </c>
      <c r="F210" t="inlineStr">
        <is>
          <t>OPEN</t>
        </is>
      </c>
      <c r="G210">
        <f>IF(F210="COVERED", E210*10.40, E210*7.55)</f>
        <v/>
      </c>
      <c r="H210" t="n">
        <v>0</v>
      </c>
      <c r="I210">
        <f>H210-G210</f>
        <v/>
      </c>
    </row>
    <row r="211">
      <c r="A211" t="inlineStr">
        <is>
          <t>SB-0418</t>
        </is>
      </c>
      <c r="B211" t="inlineStr">
        <is>
          <t>Rebecca Merritt</t>
        </is>
      </c>
      <c r="C211" t="n">
        <v>38.2</v>
      </c>
      <c r="D211" t="n">
        <v>45</v>
      </c>
      <c r="E211">
        <f>MAX(CEILING.MATH(C211, 1), D211)</f>
        <v/>
      </c>
      <c r="F211" t="inlineStr">
        <is>
          <t>OPEN</t>
        </is>
      </c>
      <c r="G211">
        <f>IF(F211="COVERED", E211*10.40, E211*7.55)</f>
        <v/>
      </c>
      <c r="H211" t="n">
        <v>0</v>
      </c>
      <c r="I211">
        <f>H211-G211</f>
        <v/>
      </c>
    </row>
    <row r="212">
      <c r="A212" t="inlineStr">
        <is>
          <t>SB-0419</t>
        </is>
      </c>
      <c r="B212" t="inlineStr">
        <is>
          <t>Jennifer Davis</t>
        </is>
      </c>
      <c r="C212" t="n">
        <v>48.2</v>
      </c>
      <c r="D212" t="n">
        <v>32</v>
      </c>
      <c r="E212">
        <f>MAX(CEILING.MATH(C212, 1), D212)</f>
        <v/>
      </c>
      <c r="F212" t="inlineStr">
        <is>
          <t>OPEN</t>
        </is>
      </c>
      <c r="G212">
        <f>IF(F212="COVERED", E212*10.40, E212*7.55)</f>
        <v/>
      </c>
      <c r="H212" t="n">
        <v>0</v>
      </c>
      <c r="I212">
        <f>H212-G212</f>
        <v/>
      </c>
    </row>
    <row r="213">
      <c r="A213" t="inlineStr">
        <is>
          <t>SB-0420</t>
        </is>
      </c>
      <c r="B213" t="inlineStr">
        <is>
          <t>Brian Miller</t>
        </is>
      </c>
      <c r="C213" t="n">
        <v>61.2</v>
      </c>
      <c r="D213" t="n">
        <v>32</v>
      </c>
      <c r="E213">
        <f>MAX(CEILING.MATH(C213, 1), D213)</f>
        <v/>
      </c>
      <c r="F213" t="inlineStr">
        <is>
          <t>OPEN</t>
        </is>
      </c>
      <c r="G213">
        <f>IF(F213="COVERED", E213*10.40, E213*7.55)</f>
        <v/>
      </c>
      <c r="H213" t="n">
        <v>0</v>
      </c>
      <c r="I213">
        <f>H213-G213</f>
        <v/>
      </c>
    </row>
    <row r="214">
      <c r="A214" t="inlineStr">
        <is>
          <t>SB-0421</t>
        </is>
      </c>
      <c r="B214" t="inlineStr">
        <is>
          <t>Brian Shea</t>
        </is>
      </c>
      <c r="C214" t="n">
        <v>48.4</v>
      </c>
      <c r="D214" t="n">
        <v>60</v>
      </c>
      <c r="E214">
        <f>MAX(CEILING.MATH(C214, 1), D214)</f>
        <v/>
      </c>
      <c r="F214" t="inlineStr">
        <is>
          <t>OPEN</t>
        </is>
      </c>
      <c r="G214">
        <f>IF(F214="COVERED", E214*10.40, E214*7.55)</f>
        <v/>
      </c>
      <c r="H214" t="n">
        <v>0</v>
      </c>
      <c r="I214">
        <f>H214-G214</f>
        <v/>
      </c>
    </row>
    <row r="215">
      <c r="A215" t="inlineStr">
        <is>
          <t>SB-0422</t>
        </is>
      </c>
      <c r="B215" t="inlineStr">
        <is>
          <t>Kenneth Bradford</t>
        </is>
      </c>
      <c r="C215" t="n">
        <v>26.5</v>
      </c>
      <c r="D215" t="n">
        <v>24</v>
      </c>
      <c r="E215">
        <f>MAX(CEILING.MATH(C215, 1), D215)</f>
        <v/>
      </c>
      <c r="F215" t="inlineStr">
        <is>
          <t>OPEN</t>
        </is>
      </c>
      <c r="G215">
        <f>IF(F215="COVERED", E215*10.40, E215*7.55)</f>
        <v/>
      </c>
      <c r="H215" t="n">
        <v>0</v>
      </c>
      <c r="I215">
        <f>H215-G215</f>
        <v/>
      </c>
    </row>
    <row r="216">
      <c r="A216" t="inlineStr">
        <is>
          <t>SB-0423</t>
        </is>
      </c>
      <c r="B216" t="inlineStr">
        <is>
          <t>Jared Garcia</t>
        </is>
      </c>
      <c r="C216" t="n">
        <v>53.2</v>
      </c>
      <c r="D216" t="n">
        <v>80</v>
      </c>
      <c r="E216">
        <f>MAX(CEILING.MATH(C216, 1), D216)</f>
        <v/>
      </c>
      <c r="F216" t="inlineStr">
        <is>
          <t>OPEN</t>
        </is>
      </c>
      <c r="G216">
        <f>IF(F216="COVERED", E216*10.40, E216*7.55)</f>
        <v/>
      </c>
      <c r="H216" t="n">
        <v>0</v>
      </c>
      <c r="I216">
        <f>H216-G216</f>
        <v/>
      </c>
    </row>
    <row r="217">
      <c r="A217" t="inlineStr">
        <is>
          <t>SB-0424</t>
        </is>
      </c>
      <c r="B217" t="inlineStr">
        <is>
          <t>Katie Hall</t>
        </is>
      </c>
      <c r="C217" t="n">
        <v>52.5</v>
      </c>
      <c r="D217" t="n">
        <v>24</v>
      </c>
      <c r="E217">
        <f>MAX(CEILING.MATH(C217, 1), D217)</f>
        <v/>
      </c>
      <c r="F217" t="inlineStr">
        <is>
          <t>OPEN</t>
        </is>
      </c>
      <c r="G217">
        <f>IF(F217="COVERED", E217*10.40, E217*7.55)</f>
        <v/>
      </c>
      <c r="H217" t="n">
        <v>0</v>
      </c>
      <c r="I217">
        <f>H217-G217</f>
        <v/>
      </c>
    </row>
    <row r="218">
      <c r="A218" t="inlineStr">
        <is>
          <t>SB-0502</t>
        </is>
      </c>
      <c r="B218" t="inlineStr">
        <is>
          <t>Kelly Lee</t>
        </is>
      </c>
      <c r="C218" t="n">
        <v>40.6</v>
      </c>
      <c r="D218" t="n">
        <v>80</v>
      </c>
      <c r="E218">
        <f>MAX(CEILING.MATH(C218, 1), D218)</f>
        <v/>
      </c>
      <c r="F218" t="inlineStr">
        <is>
          <t>OPEN</t>
        </is>
      </c>
      <c r="G218">
        <f>IF(F218="COVERED", E218*10.40, E218*7.55)</f>
        <v/>
      </c>
      <c r="H218" t="n">
        <v>0</v>
      </c>
      <c r="I218">
        <f>H218-G218</f>
        <v/>
      </c>
    </row>
    <row r="219">
      <c r="A219" t="inlineStr">
        <is>
          <t>SB-0503</t>
        </is>
      </c>
      <c r="B219" t="inlineStr">
        <is>
          <t>Sheila Fuentes</t>
        </is>
      </c>
      <c r="C219" t="n">
        <v>37.5</v>
      </c>
      <c r="D219" t="n">
        <v>45</v>
      </c>
      <c r="E219">
        <f>MAX(CEILING.MATH(C219, 1), D219)</f>
        <v/>
      </c>
      <c r="F219" t="inlineStr">
        <is>
          <t>OPEN</t>
        </is>
      </c>
      <c r="G219">
        <f>IF(F219="COVERED", E219*10.40, E219*7.55)</f>
        <v/>
      </c>
      <c r="H219" t="n">
        <v>0</v>
      </c>
      <c r="I219">
        <f>H219-G219</f>
        <v/>
      </c>
    </row>
    <row r="220">
      <c r="A220" t="inlineStr">
        <is>
          <t>SB-0504</t>
        </is>
      </c>
      <c r="B220" t="inlineStr">
        <is>
          <t>Dennis Taylor</t>
        </is>
      </c>
      <c r="C220" t="n">
        <v>54.6</v>
      </c>
      <c r="D220" t="n">
        <v>70</v>
      </c>
      <c r="E220">
        <f>MAX(CEILING.MATH(C220, 1), D220)</f>
        <v/>
      </c>
      <c r="F220" t="inlineStr">
        <is>
          <t>OPEN</t>
        </is>
      </c>
      <c r="G220">
        <f>IF(F220="COVERED", E220*10.40, E220*7.55)</f>
        <v/>
      </c>
      <c r="H220" t="n">
        <v>0</v>
      </c>
      <c r="I220">
        <f>H220-G220</f>
        <v/>
      </c>
    </row>
    <row r="221">
      <c r="A221" t="inlineStr">
        <is>
          <t>SB-0505</t>
        </is>
      </c>
      <c r="B221" t="inlineStr">
        <is>
          <t>Austin Sanchez</t>
        </is>
      </c>
      <c r="C221" t="n">
        <v>46.1</v>
      </c>
      <c r="D221" t="n">
        <v>80</v>
      </c>
      <c r="E221">
        <f>MAX(CEILING.MATH(C221, 1), D221)</f>
        <v/>
      </c>
      <c r="F221" t="inlineStr">
        <is>
          <t>OPEN</t>
        </is>
      </c>
      <c r="G221">
        <f>IF(F221="COVERED", E221*10.40, E221*7.55)</f>
        <v/>
      </c>
      <c r="H221" t="n">
        <v>0</v>
      </c>
      <c r="I221">
        <f>H221-G221</f>
        <v/>
      </c>
    </row>
    <row r="222">
      <c r="A222" t="inlineStr">
        <is>
          <t>SB-0506</t>
        </is>
      </c>
      <c r="B222" t="inlineStr">
        <is>
          <t>Craig Simon</t>
        </is>
      </c>
      <c r="C222" t="n">
        <v>47.8</v>
      </c>
      <c r="D222" t="n">
        <v>32</v>
      </c>
      <c r="E222">
        <f>MAX(CEILING.MATH(C222, 1), D222)</f>
        <v/>
      </c>
      <c r="F222" t="inlineStr">
        <is>
          <t>OPEN</t>
        </is>
      </c>
      <c r="G222">
        <f>IF(F222="COVERED", E222*10.40, E222*7.55)</f>
        <v/>
      </c>
      <c r="H222" t="n">
        <v>0</v>
      </c>
      <c r="I222">
        <f>H222-G222</f>
        <v/>
      </c>
    </row>
    <row r="223">
      <c r="A223" t="inlineStr">
        <is>
          <t>SB-0507</t>
        </is>
      </c>
      <c r="B223" t="inlineStr">
        <is>
          <t>Dawn Johnson</t>
        </is>
      </c>
      <c r="C223" t="n">
        <v>27.5</v>
      </c>
      <c r="D223" t="n">
        <v>24</v>
      </c>
      <c r="E223">
        <f>MAX(CEILING.MATH(C223, 1), D223)</f>
        <v/>
      </c>
      <c r="F223" t="inlineStr">
        <is>
          <t>OPEN</t>
        </is>
      </c>
      <c r="G223">
        <f>IF(F223="COVERED", E223*10.40, E223*7.55)</f>
        <v/>
      </c>
      <c r="H223" t="n">
        <v>0</v>
      </c>
      <c r="I223">
        <f>H223-G223</f>
        <v/>
      </c>
    </row>
    <row r="224">
      <c r="A224" t="inlineStr">
        <is>
          <t>SB-0509</t>
        </is>
      </c>
      <c r="B224" t="inlineStr">
        <is>
          <t>Ashley Vance</t>
        </is>
      </c>
      <c r="C224" t="n">
        <v>35.6</v>
      </c>
      <c r="D224" t="n">
        <v>32</v>
      </c>
      <c r="E224">
        <f>MAX(CEILING.MATH(C224, 1), D224)</f>
        <v/>
      </c>
      <c r="F224" t="inlineStr">
        <is>
          <t>OPEN</t>
        </is>
      </c>
      <c r="G224">
        <f>IF(F224="COVERED", E224*10.40, E224*7.55)</f>
        <v/>
      </c>
      <c r="H224" t="n">
        <v>0</v>
      </c>
      <c r="I224">
        <f>H224-G224</f>
        <v/>
      </c>
    </row>
    <row r="225">
      <c r="A225" t="inlineStr">
        <is>
          <t>SB-0510</t>
        </is>
      </c>
      <c r="B225" t="inlineStr">
        <is>
          <t>Brittany Harris</t>
        </is>
      </c>
      <c r="C225" t="n">
        <v>19.9</v>
      </c>
      <c r="D225" t="n">
        <v>32</v>
      </c>
      <c r="E225">
        <f>MAX(CEILING.MATH(C225, 1), D225)</f>
        <v/>
      </c>
      <c r="F225" t="inlineStr">
        <is>
          <t>OPEN</t>
        </is>
      </c>
      <c r="G225">
        <f>IF(F225="COVERED", E225*10.40, E225*7.55)</f>
        <v/>
      </c>
      <c r="H225" t="n">
        <v>0</v>
      </c>
      <c r="I225">
        <f>H225-G225</f>
        <v/>
      </c>
    </row>
    <row r="226">
      <c r="A226" t="inlineStr">
        <is>
          <t>SB-0511</t>
        </is>
      </c>
      <c r="B226" t="inlineStr">
        <is>
          <t>Jeffrey Pearson</t>
        </is>
      </c>
      <c r="C226" t="n">
        <v>55.4</v>
      </c>
      <c r="D226" t="n">
        <v>36</v>
      </c>
      <c r="E226">
        <f>MAX(CEILING.MATH(C226, 1), D226)</f>
        <v/>
      </c>
      <c r="F226" t="inlineStr">
        <is>
          <t>OPEN</t>
        </is>
      </c>
      <c r="G226">
        <f>IF(F226="COVERED", E226*10.40, E226*7.55)</f>
        <v/>
      </c>
      <c r="H226" t="n">
        <v>0</v>
      </c>
      <c r="I226">
        <f>H226-G226</f>
        <v/>
      </c>
    </row>
    <row r="227">
      <c r="A227" t="inlineStr">
        <is>
          <t>SB-0512</t>
        </is>
      </c>
      <c r="B227" t="inlineStr">
        <is>
          <t>Brandon Sawyer</t>
        </is>
      </c>
      <c r="C227" t="n">
        <v>52.6</v>
      </c>
      <c r="D227" t="n">
        <v>45</v>
      </c>
      <c r="E227">
        <f>MAX(CEILING.MATH(C227, 1), D227)</f>
        <v/>
      </c>
      <c r="F227" t="inlineStr">
        <is>
          <t>OPEN</t>
        </is>
      </c>
      <c r="G227">
        <f>IF(F227="COVERED", E227*10.40, E227*7.55)</f>
        <v/>
      </c>
      <c r="H227" t="n">
        <v>0</v>
      </c>
      <c r="I227">
        <f>H227-G227</f>
        <v/>
      </c>
    </row>
    <row r="228">
      <c r="A228" t="inlineStr">
        <is>
          <t>SB-0514</t>
        </is>
      </c>
      <c r="B228" t="inlineStr">
        <is>
          <t>James Cortez</t>
        </is>
      </c>
      <c r="C228" t="n">
        <v>20.1</v>
      </c>
      <c r="D228" t="n">
        <v>45</v>
      </c>
      <c r="E228">
        <f>MAX(CEILING.MATH(C228, 1), D228)</f>
        <v/>
      </c>
      <c r="F228" t="inlineStr">
        <is>
          <t>OPEN</t>
        </is>
      </c>
      <c r="G228">
        <f>IF(F228="COVERED", E228*10.40, E228*7.55)</f>
        <v/>
      </c>
      <c r="H228" t="n">
        <v>0</v>
      </c>
      <c r="I228">
        <f>H228-G228</f>
        <v/>
      </c>
    </row>
    <row r="229">
      <c r="A229" t="inlineStr">
        <is>
          <t>SB-0515</t>
        </is>
      </c>
      <c r="B229" t="inlineStr">
        <is>
          <t>Sean Ruiz</t>
        </is>
      </c>
      <c r="C229" t="n">
        <v>22.8</v>
      </c>
      <c r="D229" t="n">
        <v>40</v>
      </c>
      <c r="E229">
        <f>MAX(CEILING.MATH(C229, 1), D229)</f>
        <v/>
      </c>
      <c r="F229" t="inlineStr">
        <is>
          <t>OPEN</t>
        </is>
      </c>
      <c r="G229">
        <f>IF(F229="COVERED", E229*10.40, E229*7.55)</f>
        <v/>
      </c>
      <c r="H229" t="n">
        <v>0</v>
      </c>
      <c r="I229">
        <f>H229-G229</f>
        <v/>
      </c>
    </row>
    <row r="230">
      <c r="A230" t="inlineStr">
        <is>
          <t>SB-0516</t>
        </is>
      </c>
      <c r="B230" t="inlineStr">
        <is>
          <t>William Russell</t>
        </is>
      </c>
      <c r="C230" t="n">
        <v>36.4</v>
      </c>
      <c r="D230" t="n">
        <v>60</v>
      </c>
      <c r="E230">
        <f>MAX(CEILING.MATH(C230, 1), D230)</f>
        <v/>
      </c>
      <c r="F230" t="inlineStr">
        <is>
          <t>OPEN</t>
        </is>
      </c>
      <c r="G230">
        <f>IF(F230="COVERED", E230*10.40, E230*7.55)</f>
        <v/>
      </c>
      <c r="H230" t="n">
        <v>0</v>
      </c>
      <c r="I230">
        <f>H230-G230</f>
        <v/>
      </c>
    </row>
    <row r="231">
      <c r="A231" t="inlineStr">
        <is>
          <t>SB-0518</t>
        </is>
      </c>
      <c r="B231" t="inlineStr">
        <is>
          <t>Scott Ramos</t>
        </is>
      </c>
      <c r="C231" t="n">
        <v>24.9</v>
      </c>
      <c r="D231" t="n">
        <v>45</v>
      </c>
      <c r="E231">
        <f>MAX(CEILING.MATH(C231, 1), D231)</f>
        <v/>
      </c>
      <c r="F231" t="inlineStr">
        <is>
          <t>OPEN</t>
        </is>
      </c>
      <c r="G231">
        <f>IF(F231="COVERED", E231*10.40, E231*7.55)</f>
        <v/>
      </c>
      <c r="H231" t="n">
        <v>0</v>
      </c>
      <c r="I231">
        <f>H231-G231</f>
        <v/>
      </c>
    </row>
    <row r="232">
      <c r="A232" t="inlineStr">
        <is>
          <t>SB-0520</t>
        </is>
      </c>
      <c r="B232" t="inlineStr">
        <is>
          <t>Julie Johnston</t>
        </is>
      </c>
      <c r="C232" t="n">
        <v>25.7</v>
      </c>
      <c r="D232" t="n">
        <v>45</v>
      </c>
      <c r="E232">
        <f>MAX(CEILING.MATH(C232, 1), D232)</f>
        <v/>
      </c>
      <c r="F232" t="inlineStr">
        <is>
          <t>OPEN</t>
        </is>
      </c>
      <c r="G232">
        <f>IF(F232="COVERED", E232*10.40, E232*7.55)</f>
        <v/>
      </c>
      <c r="H232" t="n">
        <v>0</v>
      </c>
      <c r="I232">
        <f>H232-G232</f>
        <v/>
      </c>
    </row>
    <row r="233">
      <c r="A233" t="inlineStr">
        <is>
          <t>SB-0521</t>
        </is>
      </c>
      <c r="B233" t="inlineStr">
        <is>
          <t>Jasmine Page</t>
        </is>
      </c>
      <c r="C233" t="n">
        <v>54.6</v>
      </c>
      <c r="D233" t="n">
        <v>28</v>
      </c>
      <c r="E233">
        <f>MAX(CEILING.MATH(C233, 1), D233)</f>
        <v/>
      </c>
      <c r="F233" t="inlineStr">
        <is>
          <t>OPEN</t>
        </is>
      </c>
      <c r="G233">
        <f>IF(F233="COVERED", E233*10.40, E233*7.55)</f>
        <v/>
      </c>
      <c r="H233" t="n">
        <v>0</v>
      </c>
      <c r="I233">
        <f>H233-G233</f>
        <v/>
      </c>
    </row>
    <row r="234">
      <c r="A234" t="inlineStr">
        <is>
          <t>SB-0522</t>
        </is>
      </c>
      <c r="B234" t="inlineStr">
        <is>
          <t>Natalie Stout</t>
        </is>
      </c>
      <c r="C234" t="n">
        <v>31.6</v>
      </c>
      <c r="D234" t="n">
        <v>40</v>
      </c>
      <c r="E234">
        <f>MAX(CEILING.MATH(C234, 1), D234)</f>
        <v/>
      </c>
      <c r="F234" t="inlineStr">
        <is>
          <t>OPEN</t>
        </is>
      </c>
      <c r="G234">
        <f>IF(F234="COVERED", E234*10.40, E234*7.55)</f>
        <v/>
      </c>
      <c r="H234" t="n">
        <v>0</v>
      </c>
      <c r="I234">
        <f>H234-G234</f>
        <v/>
      </c>
    </row>
    <row r="235">
      <c r="A235" t="inlineStr">
        <is>
          <t>SB-0523</t>
        </is>
      </c>
      <c r="B235" t="inlineStr">
        <is>
          <t>Katherine Hunter</t>
        </is>
      </c>
      <c r="C235" t="n">
        <v>47.2</v>
      </c>
      <c r="D235" t="n">
        <v>32</v>
      </c>
      <c r="E235">
        <f>MAX(CEILING.MATH(C235, 1), D235)</f>
        <v/>
      </c>
      <c r="F235" t="inlineStr">
        <is>
          <t>OPEN</t>
        </is>
      </c>
      <c r="G235">
        <f>IF(F235="COVERED", E235*10.40, E235*7.55)</f>
        <v/>
      </c>
      <c r="H235" t="n">
        <v>0</v>
      </c>
      <c r="I235">
        <f>H235-G235</f>
        <v/>
      </c>
    </row>
    <row r="236">
      <c r="A236" t="inlineStr">
        <is>
          <t>SB-0524</t>
        </is>
      </c>
      <c r="B236" t="inlineStr">
        <is>
          <t>Kristen Turner</t>
        </is>
      </c>
      <c r="C236" t="n">
        <v>40.4</v>
      </c>
      <c r="D236" t="n">
        <v>24</v>
      </c>
      <c r="E236">
        <f>MAX(CEILING.MATH(C236, 1), D236)</f>
        <v/>
      </c>
      <c r="F236" t="inlineStr">
        <is>
          <t>OPEN</t>
        </is>
      </c>
      <c r="G236">
        <f>IF(F236="COVERED", E236*10.40, E236*7.55)</f>
        <v/>
      </c>
      <c r="H236" t="n">
        <v>0</v>
      </c>
      <c r="I236">
        <f>H236-G236</f>
        <v/>
      </c>
    </row>
    <row r="237">
      <c r="A237" t="inlineStr">
        <is>
          <t>SB-0601</t>
        </is>
      </c>
      <c r="B237" t="inlineStr">
        <is>
          <t>Kristy Bernard</t>
        </is>
      </c>
      <c r="C237" t="n">
        <v>34.5</v>
      </c>
      <c r="D237" t="n">
        <v>24</v>
      </c>
      <c r="E237">
        <f>MAX(CEILING.MATH(C237, 1), D237)</f>
        <v/>
      </c>
      <c r="F237" t="inlineStr">
        <is>
          <t>OPEN</t>
        </is>
      </c>
      <c r="G237">
        <f>IF(F237="COVERED", E237*10.40, E237*7.55)</f>
        <v/>
      </c>
      <c r="H237" t="n">
        <v>0</v>
      </c>
      <c r="I237">
        <f>H237-G237</f>
        <v/>
      </c>
    </row>
    <row r="238">
      <c r="A238" t="inlineStr">
        <is>
          <t>SB-0602</t>
        </is>
      </c>
      <c r="B238" t="inlineStr">
        <is>
          <t>Natalie Duncan</t>
        </is>
      </c>
      <c r="C238" t="n">
        <v>52.7</v>
      </c>
      <c r="D238" t="n">
        <v>40</v>
      </c>
      <c r="E238">
        <f>MAX(CEILING.MATH(C238, 1), D238)</f>
        <v/>
      </c>
      <c r="F238" t="inlineStr">
        <is>
          <t>OPEN</t>
        </is>
      </c>
      <c r="G238">
        <f>IF(F238="COVERED", E238*10.40, E238*7.55)</f>
        <v/>
      </c>
      <c r="H238" t="n">
        <v>0</v>
      </c>
      <c r="I238">
        <f>H238-G238</f>
        <v/>
      </c>
    </row>
    <row r="239">
      <c r="A239" t="inlineStr">
        <is>
          <t>SB-0603</t>
        </is>
      </c>
      <c r="B239" t="inlineStr">
        <is>
          <t>Kristin Smith</t>
        </is>
      </c>
      <c r="C239" t="n">
        <v>33.2</v>
      </c>
      <c r="D239" t="n">
        <v>32</v>
      </c>
      <c r="E239">
        <f>MAX(CEILING.MATH(C239, 1), D239)</f>
        <v/>
      </c>
      <c r="F239" t="inlineStr">
        <is>
          <t>OPEN</t>
        </is>
      </c>
      <c r="G239">
        <f>IF(F239="COVERED", E239*10.40, E239*7.55)</f>
        <v/>
      </c>
      <c r="H239" t="n">
        <v>0</v>
      </c>
      <c r="I239">
        <f>H239-G239</f>
        <v/>
      </c>
    </row>
    <row r="240">
      <c r="A240" t="inlineStr">
        <is>
          <t>SB-0604</t>
        </is>
      </c>
      <c r="B240" t="inlineStr">
        <is>
          <t>Kenneth Jones</t>
        </is>
      </c>
      <c r="C240" t="n">
        <v>21</v>
      </c>
      <c r="D240" t="n">
        <v>80</v>
      </c>
      <c r="E240">
        <f>MAX(CEILING.MATH(C240, 1), D240)</f>
        <v/>
      </c>
      <c r="F240" t="inlineStr">
        <is>
          <t>OPEN</t>
        </is>
      </c>
      <c r="G240">
        <f>IF(F240="COVERED", E240*10.40, E240*7.55)</f>
        <v/>
      </c>
      <c r="H240" t="n">
        <v>0</v>
      </c>
      <c r="I240">
        <f>H240-G240</f>
        <v/>
      </c>
    </row>
    <row r="241">
      <c r="A241" t="inlineStr">
        <is>
          <t>SB-0605</t>
        </is>
      </c>
      <c r="B241" t="inlineStr">
        <is>
          <t>Scott Roberts</t>
        </is>
      </c>
      <c r="C241" t="n">
        <v>41.9</v>
      </c>
      <c r="D241" t="n">
        <v>24</v>
      </c>
      <c r="E241">
        <f>MAX(CEILING.MATH(C241, 1), D241)</f>
        <v/>
      </c>
      <c r="F241" t="inlineStr">
        <is>
          <t>OPEN</t>
        </is>
      </c>
      <c r="G241">
        <f>IF(F241="COVERED", E241*10.40, E241*7.55)</f>
        <v/>
      </c>
      <c r="H241" t="n">
        <v>0</v>
      </c>
      <c r="I241">
        <f>H241-G241</f>
        <v/>
      </c>
    </row>
    <row r="242">
      <c r="A242" t="inlineStr">
        <is>
          <t>SB-0606</t>
        </is>
      </c>
      <c r="B242" t="inlineStr">
        <is>
          <t>John Lopez</t>
        </is>
      </c>
      <c r="C242" t="n">
        <v>47.1</v>
      </c>
      <c r="D242" t="n">
        <v>80</v>
      </c>
      <c r="E242">
        <f>MAX(CEILING.MATH(C242, 1), D242)</f>
        <v/>
      </c>
      <c r="F242" t="inlineStr">
        <is>
          <t>OPEN</t>
        </is>
      </c>
      <c r="G242">
        <f>IF(F242="COVERED", E242*10.40, E242*7.55)</f>
        <v/>
      </c>
      <c r="H242" t="n">
        <v>0</v>
      </c>
      <c r="I242">
        <f>H242-G242</f>
        <v/>
      </c>
    </row>
    <row r="243">
      <c r="A243" t="inlineStr">
        <is>
          <t>SB-0607</t>
        </is>
      </c>
      <c r="B243" t="inlineStr">
        <is>
          <t>Jenny Perez</t>
        </is>
      </c>
      <c r="C243" t="n">
        <v>30.9</v>
      </c>
      <c r="D243" t="n">
        <v>40</v>
      </c>
      <c r="E243">
        <f>MAX(CEILING.MATH(C243, 1), D243)</f>
        <v/>
      </c>
      <c r="F243" t="inlineStr">
        <is>
          <t>OPEN</t>
        </is>
      </c>
      <c r="G243">
        <f>IF(F243="COVERED", E243*10.40, E243*7.55)</f>
        <v/>
      </c>
      <c r="H243" t="n">
        <v>0</v>
      </c>
      <c r="I243">
        <f>H243-G243</f>
        <v/>
      </c>
    </row>
    <row r="244">
      <c r="A244" t="inlineStr">
        <is>
          <t>SB-0609</t>
        </is>
      </c>
      <c r="B244" t="inlineStr">
        <is>
          <t>Michael Gonzalez</t>
        </is>
      </c>
      <c r="C244" t="n">
        <v>37</v>
      </c>
      <c r="D244" t="n">
        <v>36</v>
      </c>
      <c r="E244">
        <f>MAX(CEILING.MATH(C244, 1), D244)</f>
        <v/>
      </c>
      <c r="F244" t="inlineStr">
        <is>
          <t>OPEN</t>
        </is>
      </c>
      <c r="G244">
        <f>IF(F244="COVERED", E244*10.40, E244*7.55)</f>
        <v/>
      </c>
      <c r="H244" t="n">
        <v>0</v>
      </c>
      <c r="I244">
        <f>H244-G244</f>
        <v/>
      </c>
    </row>
    <row r="245">
      <c r="A245" t="inlineStr">
        <is>
          <t>SB-0610</t>
        </is>
      </c>
      <c r="B245" t="inlineStr">
        <is>
          <t>Michael Martinez</t>
        </is>
      </c>
      <c r="C245" t="n">
        <v>31.7</v>
      </c>
      <c r="D245" t="n">
        <v>60</v>
      </c>
      <c r="E245">
        <f>MAX(CEILING.MATH(C245, 1), D245)</f>
        <v/>
      </c>
      <c r="F245" t="inlineStr">
        <is>
          <t>OPEN</t>
        </is>
      </c>
      <c r="G245">
        <f>IF(F245="COVERED", E245*10.40, E245*7.55)</f>
        <v/>
      </c>
      <c r="H245" t="n">
        <v>0</v>
      </c>
      <c r="I245">
        <f>H245-G245</f>
        <v/>
      </c>
    </row>
    <row r="246">
      <c r="A246" t="inlineStr">
        <is>
          <t>SB-0611</t>
        </is>
      </c>
      <c r="B246" t="inlineStr">
        <is>
          <t>Gary Waters</t>
        </is>
      </c>
      <c r="C246" t="n">
        <v>24.7</v>
      </c>
      <c r="D246" t="n">
        <v>36</v>
      </c>
      <c r="E246">
        <f>MAX(CEILING.MATH(C246, 1), D246)</f>
        <v/>
      </c>
      <c r="F246" t="inlineStr">
        <is>
          <t>OPEN</t>
        </is>
      </c>
      <c r="G246">
        <f>IF(F246="COVERED", E246*10.40, E246*7.55)</f>
        <v/>
      </c>
      <c r="H246" t="n">
        <v>0</v>
      </c>
      <c r="I246">
        <f>H246-G246</f>
        <v/>
      </c>
    </row>
    <row r="247">
      <c r="A247" t="inlineStr">
        <is>
          <t>SB-0612</t>
        </is>
      </c>
      <c r="B247" t="inlineStr">
        <is>
          <t>Marvin Davila</t>
        </is>
      </c>
      <c r="C247" t="n">
        <v>45</v>
      </c>
      <c r="D247" t="n">
        <v>24</v>
      </c>
      <c r="E247">
        <f>MAX(CEILING.MATH(C247, 1), D247)</f>
        <v/>
      </c>
      <c r="F247" t="inlineStr">
        <is>
          <t>OPEN</t>
        </is>
      </c>
      <c r="G247">
        <f>IF(F247="COVERED", E247*10.40, E247*7.55)</f>
        <v/>
      </c>
      <c r="H247" t="n">
        <v>0</v>
      </c>
      <c r="I247">
        <f>H247-G247</f>
        <v/>
      </c>
    </row>
    <row r="248">
      <c r="A248" t="inlineStr">
        <is>
          <t>SB-0613</t>
        </is>
      </c>
      <c r="B248" t="inlineStr">
        <is>
          <t>Martin King</t>
        </is>
      </c>
      <c r="C248" t="n">
        <v>53.6</v>
      </c>
      <c r="D248" t="n">
        <v>28</v>
      </c>
      <c r="E248">
        <f>MAX(CEILING.MATH(C248, 1), D248)</f>
        <v/>
      </c>
      <c r="F248" t="inlineStr">
        <is>
          <t>OPEN</t>
        </is>
      </c>
      <c r="G248">
        <f>IF(F248="COVERED", E248*10.40, E248*7.55)</f>
        <v/>
      </c>
      <c r="H248" t="n">
        <v>0</v>
      </c>
      <c r="I248">
        <f>H248-G248</f>
        <v/>
      </c>
    </row>
    <row r="249">
      <c r="A249" t="inlineStr">
        <is>
          <t>SB-0614</t>
        </is>
      </c>
      <c r="B249" t="inlineStr">
        <is>
          <t>Joshua Walton</t>
        </is>
      </c>
      <c r="C249" t="n">
        <v>49.5</v>
      </c>
      <c r="D249" t="n">
        <v>80</v>
      </c>
      <c r="E249">
        <f>MAX(CEILING.MATH(C249, 1), D249)</f>
        <v/>
      </c>
      <c r="F249" t="inlineStr">
        <is>
          <t>OPEN</t>
        </is>
      </c>
      <c r="G249">
        <f>IF(F249="COVERED", E249*10.40, E249*7.55)</f>
        <v/>
      </c>
      <c r="H249" t="n">
        <v>0</v>
      </c>
      <c r="I249">
        <f>H249-G249</f>
        <v/>
      </c>
    </row>
    <row r="250">
      <c r="A250" t="inlineStr">
        <is>
          <t>SB-0615</t>
        </is>
      </c>
      <c r="B250" t="inlineStr">
        <is>
          <t>Kristen Miller</t>
        </is>
      </c>
      <c r="C250" t="n">
        <v>27.7</v>
      </c>
      <c r="D250" t="n">
        <v>45</v>
      </c>
      <c r="E250">
        <f>MAX(CEILING.MATH(C250, 1), D250)</f>
        <v/>
      </c>
      <c r="F250" t="inlineStr">
        <is>
          <t>OPEN</t>
        </is>
      </c>
      <c r="G250">
        <f>IF(F250="COVERED", E250*10.40, E250*7.55)</f>
        <v/>
      </c>
      <c r="H250" t="n">
        <v>0</v>
      </c>
      <c r="I250">
        <f>H250-G250</f>
        <v/>
      </c>
    </row>
    <row r="251">
      <c r="A251" t="inlineStr">
        <is>
          <t>SB-0616</t>
        </is>
      </c>
      <c r="B251" t="inlineStr">
        <is>
          <t>Christopher Dorsey</t>
        </is>
      </c>
      <c r="C251" t="n">
        <v>41.8</v>
      </c>
      <c r="D251" t="n">
        <v>24</v>
      </c>
      <c r="E251">
        <f>MAX(CEILING.MATH(C251, 1), D251)</f>
        <v/>
      </c>
      <c r="F251" t="inlineStr">
        <is>
          <t>OPEN</t>
        </is>
      </c>
      <c r="G251">
        <f>IF(F251="COVERED", E251*10.40, E251*7.55)</f>
        <v/>
      </c>
      <c r="H251" t="n">
        <v>0</v>
      </c>
      <c r="I251">
        <f>H251-G251</f>
        <v/>
      </c>
    </row>
    <row r="252">
      <c r="A252" t="inlineStr">
        <is>
          <t>SB-0617</t>
        </is>
      </c>
      <c r="B252" t="inlineStr">
        <is>
          <t>Linda Taylor</t>
        </is>
      </c>
      <c r="C252" t="n">
        <v>26.3</v>
      </c>
      <c r="D252" t="n">
        <v>36</v>
      </c>
      <c r="E252">
        <f>MAX(CEILING.MATH(C252, 1), D252)</f>
        <v/>
      </c>
      <c r="F252" t="inlineStr">
        <is>
          <t>OPEN</t>
        </is>
      </c>
      <c r="G252">
        <f>IF(F252="COVERED", E252*10.40, E252*7.55)</f>
        <v/>
      </c>
      <c r="H252" t="n">
        <v>0</v>
      </c>
      <c r="I252">
        <f>H252-G252</f>
        <v/>
      </c>
    </row>
    <row r="253">
      <c r="A253" t="inlineStr">
        <is>
          <t>SB-0619</t>
        </is>
      </c>
      <c r="B253" t="inlineStr">
        <is>
          <t>Adam Warner</t>
        </is>
      </c>
      <c r="C253" t="n">
        <v>26.3</v>
      </c>
      <c r="D253" t="n">
        <v>24</v>
      </c>
      <c r="E253">
        <f>MAX(CEILING.MATH(C253, 1), D253)</f>
        <v/>
      </c>
      <c r="F253" t="inlineStr">
        <is>
          <t>OPEN</t>
        </is>
      </c>
      <c r="G253">
        <f>IF(F253="COVERED", E253*10.40, E253*7.55)</f>
        <v/>
      </c>
      <c r="H253" t="n">
        <v>0</v>
      </c>
      <c r="I253">
        <f>H253-G253</f>
        <v/>
      </c>
    </row>
    <row r="254">
      <c r="A254" t="inlineStr">
        <is>
          <t>SB-0620</t>
        </is>
      </c>
      <c r="B254" t="inlineStr">
        <is>
          <t>Glen Owen</t>
        </is>
      </c>
      <c r="C254" t="n">
        <v>61.4</v>
      </c>
      <c r="D254" t="n">
        <v>60</v>
      </c>
      <c r="E254">
        <f>MAX(CEILING.MATH(C254, 1), D254)</f>
        <v/>
      </c>
      <c r="F254" t="inlineStr">
        <is>
          <t>OPEN</t>
        </is>
      </c>
      <c r="G254">
        <f>IF(F254="COVERED", E254*10.40, E254*7.55)</f>
        <v/>
      </c>
      <c r="H254" t="n">
        <v>0</v>
      </c>
      <c r="I254">
        <f>H254-G254</f>
        <v/>
      </c>
    </row>
    <row r="255">
      <c r="A255" t="inlineStr">
        <is>
          <t>SB-0621</t>
        </is>
      </c>
      <c r="B255" t="inlineStr">
        <is>
          <t>Jeremy Stevens</t>
        </is>
      </c>
      <c r="C255" t="n">
        <v>25.8</v>
      </c>
      <c r="D255" t="n">
        <v>32</v>
      </c>
      <c r="E255">
        <f>MAX(CEILING.MATH(C255, 1), D255)</f>
        <v/>
      </c>
      <c r="F255" t="inlineStr">
        <is>
          <t>OPEN</t>
        </is>
      </c>
      <c r="G255">
        <f>IF(F255="COVERED", E255*10.40, E255*7.55)</f>
        <v/>
      </c>
      <c r="H255" t="n">
        <v>0</v>
      </c>
      <c r="I255">
        <f>H255-G255</f>
        <v/>
      </c>
    </row>
    <row r="256">
      <c r="A256" t="inlineStr">
        <is>
          <t>SB-0622</t>
        </is>
      </c>
      <c r="B256" t="inlineStr">
        <is>
          <t>Anthony Morris</t>
        </is>
      </c>
      <c r="C256" t="n">
        <v>34.1</v>
      </c>
      <c r="D256" t="n">
        <v>32</v>
      </c>
      <c r="E256">
        <f>MAX(CEILING.MATH(C256, 1), D256)</f>
        <v/>
      </c>
      <c r="F256" t="inlineStr">
        <is>
          <t>OPEN</t>
        </is>
      </c>
      <c r="G256">
        <f>IF(F256="COVERED", E256*10.40, E256*7.55)</f>
        <v/>
      </c>
      <c r="H256" t="n">
        <v>0</v>
      </c>
      <c r="I256">
        <f>H256-G256</f>
        <v/>
      </c>
    </row>
    <row r="257">
      <c r="A257" t="inlineStr">
        <is>
          <t>SB-0623</t>
        </is>
      </c>
      <c r="B257" t="inlineStr">
        <is>
          <t>Ian Webb</t>
        </is>
      </c>
      <c r="C257" t="n">
        <v>41.8</v>
      </c>
      <c r="D257" t="n">
        <v>28</v>
      </c>
      <c r="E257">
        <f>MAX(CEILING.MATH(C257, 1), D257)</f>
        <v/>
      </c>
      <c r="F257" t="inlineStr">
        <is>
          <t>OPEN</t>
        </is>
      </c>
      <c r="G257">
        <f>IF(F257="COVERED", E257*10.40, E257*7.55)</f>
        <v/>
      </c>
      <c r="H257" t="n">
        <v>0</v>
      </c>
      <c r="I257">
        <f>H257-G257</f>
        <v/>
      </c>
    </row>
    <row r="258">
      <c r="A258" t="inlineStr">
        <is>
          <t>SB-0624</t>
        </is>
      </c>
      <c r="B258" t="inlineStr">
        <is>
          <t>Sean Huber</t>
        </is>
      </c>
      <c r="C258" t="n">
        <v>32.4</v>
      </c>
      <c r="D258" t="n">
        <v>24</v>
      </c>
      <c r="E258">
        <f>MAX(CEILING.MATH(C258, 1), D258)</f>
        <v/>
      </c>
      <c r="F258" t="inlineStr">
        <is>
          <t>OPEN</t>
        </is>
      </c>
      <c r="G258">
        <f>IF(F258="COVERED", E258*10.40, E258*7.55)</f>
        <v/>
      </c>
      <c r="H258" t="n">
        <v>0</v>
      </c>
      <c r="I258">
        <f>H258-G258</f>
        <v/>
      </c>
    </row>
    <row r="259">
      <c r="A259" t="inlineStr">
        <is>
          <t>SB-0701</t>
        </is>
      </c>
      <c r="B259" t="inlineStr">
        <is>
          <t>Timothy Coleman</t>
        </is>
      </c>
      <c r="C259" t="n">
        <v>37.3</v>
      </c>
      <c r="D259" t="n">
        <v>28</v>
      </c>
      <c r="E259">
        <f>MAX(CEILING.MATH(C259, 1), D259)</f>
        <v/>
      </c>
      <c r="F259" t="inlineStr">
        <is>
          <t>OPEN</t>
        </is>
      </c>
      <c r="G259">
        <f>IF(F259="COVERED", E259*10.40, E259*7.55)</f>
        <v/>
      </c>
      <c r="H259" t="n">
        <v>0</v>
      </c>
      <c r="I259">
        <f>H259-G259</f>
        <v/>
      </c>
    </row>
    <row r="260">
      <c r="A260" t="inlineStr">
        <is>
          <t>SB-0702</t>
        </is>
      </c>
      <c r="B260" t="inlineStr">
        <is>
          <t>Erin Williams</t>
        </is>
      </c>
      <c r="C260" t="n">
        <v>19.2</v>
      </c>
      <c r="D260" t="n">
        <v>50</v>
      </c>
      <c r="E260">
        <f>MAX(CEILING.MATH(C260, 1), D260)</f>
        <v/>
      </c>
      <c r="F260" t="inlineStr">
        <is>
          <t>OPEN</t>
        </is>
      </c>
      <c r="G260">
        <f>IF(F260="COVERED", E260*10.40, E260*7.55)</f>
        <v/>
      </c>
      <c r="H260" t="n">
        <v>0</v>
      </c>
      <c r="I260">
        <f>H260-G260</f>
        <v/>
      </c>
    </row>
    <row r="261">
      <c r="A261" t="inlineStr">
        <is>
          <t>SB-0703</t>
        </is>
      </c>
      <c r="B261" t="inlineStr">
        <is>
          <t>Iris Quan</t>
        </is>
      </c>
      <c r="C261" t="n">
        <v>23.6</v>
      </c>
      <c r="D261" t="n">
        <v>32</v>
      </c>
      <c r="E261">
        <f>MAX(CEILING.MATH(C261, 1), D261)</f>
        <v/>
      </c>
      <c r="F261" t="inlineStr">
        <is>
          <t>OPEN</t>
        </is>
      </c>
      <c r="G261">
        <f>IF(F261="COVERED", E261*10.40, E261*7.55)</f>
        <v/>
      </c>
      <c r="H261" t="n">
        <v>0</v>
      </c>
      <c r="I261">
        <f>H261-G261</f>
        <v/>
      </c>
    </row>
    <row r="262">
      <c r="A262" t="inlineStr">
        <is>
          <t>SB-0704</t>
        </is>
      </c>
      <c r="B262" t="inlineStr">
        <is>
          <t>Deborah Estrada</t>
        </is>
      </c>
      <c r="C262" t="n">
        <v>25.3</v>
      </c>
      <c r="D262" t="n">
        <v>70</v>
      </c>
      <c r="E262">
        <f>MAX(CEILING.MATH(C262, 1), D262)</f>
        <v/>
      </c>
      <c r="F262" t="inlineStr">
        <is>
          <t>OPEN</t>
        </is>
      </c>
      <c r="G262">
        <f>IF(F262="COVERED", E262*10.40, E262*7.55)</f>
        <v/>
      </c>
      <c r="H262" t="n">
        <v>0</v>
      </c>
      <c r="I262">
        <f>H262-G262</f>
        <v/>
      </c>
    </row>
    <row r="263">
      <c r="A263" t="inlineStr">
        <is>
          <t>SB-0705</t>
        </is>
      </c>
      <c r="B263" t="inlineStr">
        <is>
          <t>Jodi Holland</t>
        </is>
      </c>
      <c r="C263" t="n">
        <v>48.9</v>
      </c>
      <c r="D263" t="n">
        <v>28</v>
      </c>
      <c r="E263">
        <f>MAX(CEILING.MATH(C263, 1), D263)</f>
        <v/>
      </c>
      <c r="F263" t="inlineStr">
        <is>
          <t>OPEN</t>
        </is>
      </c>
      <c r="G263">
        <f>IF(F263="COVERED", E263*10.40, E263*7.55)</f>
        <v/>
      </c>
      <c r="H263" t="n">
        <v>0</v>
      </c>
      <c r="I263">
        <f>H263-G263</f>
        <v/>
      </c>
    </row>
    <row r="264">
      <c r="A264" t="inlineStr">
        <is>
          <t>SB-0706</t>
        </is>
      </c>
      <c r="B264" t="inlineStr">
        <is>
          <t>Tammy Thomas</t>
        </is>
      </c>
      <c r="C264" t="n">
        <v>44.5</v>
      </c>
      <c r="D264" t="n">
        <v>28</v>
      </c>
      <c r="E264">
        <f>MAX(CEILING.MATH(C264, 1), D264)</f>
        <v/>
      </c>
      <c r="F264" t="inlineStr">
        <is>
          <t>OPEN</t>
        </is>
      </c>
      <c r="G264">
        <f>IF(F264="COVERED", E264*10.40, E264*7.55)</f>
        <v/>
      </c>
      <c r="H264" t="n">
        <v>0</v>
      </c>
      <c r="I264">
        <f>H264-G264</f>
        <v/>
      </c>
    </row>
    <row r="265">
      <c r="A265" t="inlineStr">
        <is>
          <t>SB-0707</t>
        </is>
      </c>
      <c r="B265" t="inlineStr">
        <is>
          <t>David Sweeney</t>
        </is>
      </c>
      <c r="C265" t="n">
        <v>38.7</v>
      </c>
      <c r="D265" t="n">
        <v>45</v>
      </c>
      <c r="E265">
        <f>MAX(CEILING.MATH(C265, 1), D265)</f>
        <v/>
      </c>
      <c r="F265" t="inlineStr">
        <is>
          <t>OPEN</t>
        </is>
      </c>
      <c r="G265">
        <f>IF(F265="COVERED", E265*10.40, E265*7.55)</f>
        <v/>
      </c>
      <c r="H265" t="n">
        <v>0</v>
      </c>
      <c r="I265">
        <f>H265-G265</f>
        <v/>
      </c>
    </row>
    <row r="266">
      <c r="A266" t="inlineStr">
        <is>
          <t>SB-0708</t>
        </is>
      </c>
      <c r="B266" t="inlineStr">
        <is>
          <t>Christopher Torres</t>
        </is>
      </c>
      <c r="C266" t="n">
        <v>25.7</v>
      </c>
      <c r="D266" t="n">
        <v>24</v>
      </c>
      <c r="E266">
        <f>MAX(CEILING.MATH(C266, 1), D266)</f>
        <v/>
      </c>
      <c r="F266" t="inlineStr">
        <is>
          <t>OPEN</t>
        </is>
      </c>
      <c r="G266">
        <f>IF(F266="COVERED", E266*10.40, E266*7.55)</f>
        <v/>
      </c>
      <c r="H266" t="n">
        <v>0</v>
      </c>
      <c r="I266">
        <f>H266-G266</f>
        <v/>
      </c>
    </row>
    <row r="267">
      <c r="A267" t="inlineStr">
        <is>
          <t>SB-0709</t>
        </is>
      </c>
      <c r="B267" t="inlineStr">
        <is>
          <t>Charles Bell</t>
        </is>
      </c>
      <c r="C267" t="n">
        <v>27.1</v>
      </c>
      <c r="D267" t="n">
        <v>28</v>
      </c>
      <c r="E267">
        <f>MAX(CEILING.MATH(C267, 1), D267)</f>
        <v/>
      </c>
      <c r="F267" t="inlineStr">
        <is>
          <t>OPEN</t>
        </is>
      </c>
      <c r="G267">
        <f>IF(F267="COVERED", E267*10.40, E267*7.55)</f>
        <v/>
      </c>
      <c r="H267" t="n">
        <v>0</v>
      </c>
      <c r="I267">
        <f>H267-G267</f>
        <v/>
      </c>
    </row>
    <row r="268">
      <c r="A268" t="inlineStr">
        <is>
          <t>SB-0710</t>
        </is>
      </c>
      <c r="B268" t="inlineStr">
        <is>
          <t>Holly Myers</t>
        </is>
      </c>
      <c r="C268" t="n">
        <v>36.7</v>
      </c>
      <c r="D268" t="n">
        <v>50</v>
      </c>
      <c r="E268">
        <f>MAX(CEILING.MATH(C268, 1), D268)</f>
        <v/>
      </c>
      <c r="F268" t="inlineStr">
        <is>
          <t>OPEN</t>
        </is>
      </c>
      <c r="G268">
        <f>IF(F268="COVERED", E268*10.40, E268*7.55)</f>
        <v/>
      </c>
      <c r="H268" t="n">
        <v>0</v>
      </c>
      <c r="I268">
        <f>H268-G268</f>
        <v/>
      </c>
    </row>
    <row r="269">
      <c r="A269" t="inlineStr">
        <is>
          <t>SB-0711</t>
        </is>
      </c>
      <c r="B269" t="inlineStr">
        <is>
          <t>Joseph Koch</t>
        </is>
      </c>
      <c r="C269" t="n">
        <v>49.2</v>
      </c>
      <c r="D269" t="n">
        <v>24</v>
      </c>
      <c r="E269">
        <f>MAX(CEILING.MATH(C269, 1), D269)</f>
        <v/>
      </c>
      <c r="F269" t="inlineStr">
        <is>
          <t>OPEN</t>
        </is>
      </c>
      <c r="G269">
        <f>IF(F269="COVERED", E269*10.40, E269*7.55)</f>
        <v/>
      </c>
      <c r="H269" t="n">
        <v>0</v>
      </c>
      <c r="I269">
        <f>H269-G269</f>
        <v/>
      </c>
    </row>
    <row r="270">
      <c r="A270" t="inlineStr">
        <is>
          <t>SB-0712</t>
        </is>
      </c>
      <c r="B270" t="inlineStr">
        <is>
          <t>Theresa Grant</t>
        </is>
      </c>
      <c r="C270" t="n">
        <v>20.5</v>
      </c>
      <c r="D270" t="n">
        <v>70</v>
      </c>
      <c r="E270">
        <f>MAX(CEILING.MATH(C270, 1), D270)</f>
        <v/>
      </c>
      <c r="F270" t="inlineStr">
        <is>
          <t>OPEN</t>
        </is>
      </c>
      <c r="G270">
        <f>IF(F270="COVERED", E270*10.40, E270*7.55)</f>
        <v/>
      </c>
      <c r="H270" t="n">
        <v>0</v>
      </c>
      <c r="I270">
        <f>H270-G270</f>
        <v/>
      </c>
    </row>
    <row r="271">
      <c r="A271" t="inlineStr">
        <is>
          <t>SB-0713</t>
        </is>
      </c>
      <c r="B271" t="inlineStr">
        <is>
          <t>Kimberly Pearson</t>
        </is>
      </c>
      <c r="C271" t="n">
        <v>42</v>
      </c>
      <c r="D271" t="n">
        <v>60</v>
      </c>
      <c r="E271">
        <f>MAX(CEILING.MATH(C271, 1), D271)</f>
        <v/>
      </c>
      <c r="F271" t="inlineStr">
        <is>
          <t>OPEN</t>
        </is>
      </c>
      <c r="G271">
        <f>IF(F271="COVERED", E271*10.40, E271*7.55)</f>
        <v/>
      </c>
      <c r="H271" t="n">
        <v>0</v>
      </c>
      <c r="I271">
        <f>H271-G271</f>
        <v/>
      </c>
    </row>
    <row r="272">
      <c r="A272" t="inlineStr">
        <is>
          <t>SB-0714</t>
        </is>
      </c>
      <c r="B272" t="inlineStr">
        <is>
          <t>Brendan Durham</t>
        </is>
      </c>
      <c r="C272" t="n">
        <v>24.4</v>
      </c>
      <c r="D272" t="n">
        <v>70</v>
      </c>
      <c r="E272">
        <f>MAX(CEILING.MATH(C272, 1), D272)</f>
        <v/>
      </c>
      <c r="F272" t="inlineStr">
        <is>
          <t>OPEN</t>
        </is>
      </c>
      <c r="G272">
        <f>IF(F272="COVERED", E272*10.40, E272*7.55)</f>
        <v/>
      </c>
      <c r="H272" t="n">
        <v>0</v>
      </c>
      <c r="I272">
        <f>H272-G272</f>
        <v/>
      </c>
    </row>
    <row r="273">
      <c r="A273" t="inlineStr">
        <is>
          <t>SB-0715</t>
        </is>
      </c>
      <c r="B273" t="inlineStr">
        <is>
          <t>Lori Bauer</t>
        </is>
      </c>
      <c r="C273" t="n">
        <v>56.7</v>
      </c>
      <c r="D273" t="n">
        <v>28</v>
      </c>
      <c r="E273">
        <f>MAX(CEILING.MATH(C273, 1), D273)</f>
        <v/>
      </c>
      <c r="F273" t="inlineStr">
        <is>
          <t>OPEN</t>
        </is>
      </c>
      <c r="G273">
        <f>IF(F273="COVERED", E273*10.40, E273*7.55)</f>
        <v/>
      </c>
      <c r="H273" t="n">
        <v>0</v>
      </c>
      <c r="I273">
        <f>H273-G273</f>
        <v/>
      </c>
    </row>
    <row r="274">
      <c r="A274" t="inlineStr">
        <is>
          <t>SB-0716</t>
        </is>
      </c>
      <c r="B274" t="inlineStr">
        <is>
          <t>Tricia Dixon</t>
        </is>
      </c>
      <c r="C274" t="n">
        <v>61.6</v>
      </c>
      <c r="D274" t="n">
        <v>24</v>
      </c>
      <c r="E274">
        <f>MAX(CEILING.MATH(C274, 1), D274)</f>
        <v/>
      </c>
      <c r="F274" t="inlineStr">
        <is>
          <t>OPEN</t>
        </is>
      </c>
      <c r="G274">
        <f>IF(F274="COVERED", E274*10.40, E274*7.55)</f>
        <v/>
      </c>
      <c r="H274" t="n">
        <v>0</v>
      </c>
      <c r="I274">
        <f>H274-G274</f>
        <v/>
      </c>
    </row>
    <row r="275">
      <c r="A275" t="inlineStr">
        <is>
          <t>SB-0717</t>
        </is>
      </c>
      <c r="B275" t="inlineStr">
        <is>
          <t>Kenneth Williams</t>
        </is>
      </c>
      <c r="C275" t="n">
        <v>54.8</v>
      </c>
      <c r="D275" t="n">
        <v>60</v>
      </c>
      <c r="E275">
        <f>MAX(CEILING.MATH(C275, 1), D275)</f>
        <v/>
      </c>
      <c r="F275" t="inlineStr">
        <is>
          <t>OPEN</t>
        </is>
      </c>
      <c r="G275">
        <f>IF(F275="COVERED", E275*10.40, E275*7.55)</f>
        <v/>
      </c>
      <c r="H275" t="n">
        <v>0</v>
      </c>
      <c r="I275">
        <f>H275-G275</f>
        <v/>
      </c>
    </row>
    <row r="276">
      <c r="A276" t="inlineStr">
        <is>
          <t>SB-0718</t>
        </is>
      </c>
      <c r="B276" t="inlineStr">
        <is>
          <t>Monique Carey</t>
        </is>
      </c>
      <c r="C276" t="n">
        <v>20.2</v>
      </c>
      <c r="D276" t="n">
        <v>80</v>
      </c>
      <c r="E276">
        <f>MAX(CEILING.MATH(C276, 1), D276)</f>
        <v/>
      </c>
      <c r="F276" t="inlineStr">
        <is>
          <t>OPEN</t>
        </is>
      </c>
      <c r="G276">
        <f>IF(F276="COVERED", E276*10.40, E276*7.55)</f>
        <v/>
      </c>
      <c r="H276" t="n">
        <v>0</v>
      </c>
      <c r="I276">
        <f>H276-G276</f>
        <v/>
      </c>
    </row>
    <row r="277">
      <c r="A277" t="inlineStr">
        <is>
          <t>SB-0719</t>
        </is>
      </c>
      <c r="B277" t="inlineStr">
        <is>
          <t>Miguel Tucker</t>
        </is>
      </c>
      <c r="C277" t="n">
        <v>59</v>
      </c>
      <c r="D277" t="n">
        <v>28</v>
      </c>
      <c r="E277">
        <f>MAX(CEILING.MATH(C277, 1), D277)</f>
        <v/>
      </c>
      <c r="F277" t="inlineStr">
        <is>
          <t>OPEN</t>
        </is>
      </c>
      <c r="G277">
        <f>IF(F277="COVERED", E277*10.40, E277*7.55)</f>
        <v/>
      </c>
      <c r="H277" t="n">
        <v>0</v>
      </c>
      <c r="I277">
        <f>H277-G277</f>
        <v/>
      </c>
    </row>
    <row r="278">
      <c r="A278" t="inlineStr">
        <is>
          <t>SB-0720</t>
        </is>
      </c>
      <c r="B278" t="inlineStr">
        <is>
          <t>Christopher Evans</t>
        </is>
      </c>
      <c r="C278" t="n">
        <v>31.5</v>
      </c>
      <c r="D278" t="n">
        <v>28</v>
      </c>
      <c r="E278">
        <f>MAX(CEILING.MATH(C278, 1), D278)</f>
        <v/>
      </c>
      <c r="F278" t="inlineStr">
        <is>
          <t>OPEN</t>
        </is>
      </c>
      <c r="G278">
        <f>IF(F278="COVERED", E278*10.40, E278*7.55)</f>
        <v/>
      </c>
      <c r="H278" t="n">
        <v>0</v>
      </c>
      <c r="I278">
        <f>H278-G278</f>
        <v/>
      </c>
    </row>
    <row r="279">
      <c r="A279" t="inlineStr">
        <is>
          <t>SB-0721</t>
        </is>
      </c>
      <c r="B279" t="inlineStr">
        <is>
          <t>Scott Mendoza</t>
        </is>
      </c>
      <c r="C279" t="n">
        <v>29.7</v>
      </c>
      <c r="D279" t="n">
        <v>28</v>
      </c>
      <c r="E279">
        <f>MAX(CEILING.MATH(C279, 1), D279)</f>
        <v/>
      </c>
      <c r="F279" t="inlineStr">
        <is>
          <t>OPEN</t>
        </is>
      </c>
      <c r="G279">
        <f>IF(F279="COVERED", E279*10.40, E279*7.55)</f>
        <v/>
      </c>
      <c r="H279" t="n">
        <v>0</v>
      </c>
      <c r="I279">
        <f>H279-G279</f>
        <v/>
      </c>
    </row>
    <row r="280">
      <c r="A280" t="inlineStr">
        <is>
          <t>SB-0722</t>
        </is>
      </c>
      <c r="B280" t="inlineStr">
        <is>
          <t>Samuel Lane</t>
        </is>
      </c>
      <c r="C280" t="n">
        <v>54</v>
      </c>
      <c r="D280" t="n">
        <v>24</v>
      </c>
      <c r="E280">
        <f>MAX(CEILING.MATH(C280, 1), D280)</f>
        <v/>
      </c>
      <c r="F280" t="inlineStr">
        <is>
          <t>OPEN</t>
        </is>
      </c>
      <c r="G280">
        <f>IF(F280="COVERED", E280*10.40, E280*7.55)</f>
        <v/>
      </c>
      <c r="H280" t="n">
        <v>0</v>
      </c>
      <c r="I280">
        <f>H280-G280</f>
        <v/>
      </c>
    </row>
    <row r="281">
      <c r="A281" t="inlineStr">
        <is>
          <t>SB-0723</t>
        </is>
      </c>
      <c r="B281" t="inlineStr">
        <is>
          <t>Joseph Crosby</t>
        </is>
      </c>
      <c r="C281" t="n">
        <v>40.1</v>
      </c>
      <c r="D281" t="n">
        <v>24</v>
      </c>
      <c r="E281">
        <f>MAX(CEILING.MATH(C281, 1), D281)</f>
        <v/>
      </c>
      <c r="F281" t="inlineStr">
        <is>
          <t>OPEN</t>
        </is>
      </c>
      <c r="G281">
        <f>IF(F281="COVERED", E281*10.40, E281*7.55)</f>
        <v/>
      </c>
      <c r="H281" t="n">
        <v>0</v>
      </c>
      <c r="I281">
        <f>H281-G281</f>
        <v/>
      </c>
    </row>
    <row r="282">
      <c r="A282" t="inlineStr">
        <is>
          <t>SB-0724</t>
        </is>
      </c>
      <c r="B282" t="inlineStr">
        <is>
          <t>Dawn Hammond</t>
        </is>
      </c>
      <c r="C282" t="n">
        <v>58.8</v>
      </c>
      <c r="D282" t="n">
        <v>40</v>
      </c>
      <c r="E282">
        <f>MAX(CEILING.MATH(C282, 1), D282)</f>
        <v/>
      </c>
      <c r="F282" t="inlineStr">
        <is>
          <t>OPEN</t>
        </is>
      </c>
      <c r="G282">
        <f>IF(F282="COVERED", E282*10.40, E282*7.55)</f>
        <v/>
      </c>
      <c r="H282" t="n">
        <v>0</v>
      </c>
      <c r="I282">
        <f>H282-G282</f>
        <v/>
      </c>
    </row>
    <row r="283">
      <c r="A283" t="inlineStr">
        <is>
          <t>SB-0801</t>
        </is>
      </c>
      <c r="B283" t="inlineStr">
        <is>
          <t>Jo Hernandez</t>
        </is>
      </c>
      <c r="C283" t="n">
        <v>44.8</v>
      </c>
      <c r="D283" t="n">
        <v>32</v>
      </c>
      <c r="E283">
        <f>MAX(CEILING.MATH(C283, 1), D283)</f>
        <v/>
      </c>
      <c r="F283" t="inlineStr">
        <is>
          <t>OPEN</t>
        </is>
      </c>
      <c r="G283">
        <f>IF(F283="COVERED", E283*10.40, E283*7.55)</f>
        <v/>
      </c>
      <c r="H283" t="n">
        <v>0</v>
      </c>
      <c r="I283">
        <f>H283-G283</f>
        <v/>
      </c>
    </row>
    <row r="284">
      <c r="A284" t="inlineStr">
        <is>
          <t>SB-0802</t>
        </is>
      </c>
      <c r="B284" t="inlineStr">
        <is>
          <t>David Giles</t>
        </is>
      </c>
      <c r="C284" t="n">
        <v>34.3</v>
      </c>
      <c r="D284" t="n">
        <v>45</v>
      </c>
      <c r="E284">
        <f>MAX(CEILING.MATH(C284, 1), D284)</f>
        <v/>
      </c>
      <c r="F284" t="inlineStr">
        <is>
          <t>OPEN</t>
        </is>
      </c>
      <c r="G284">
        <f>IF(F284="COVERED", E284*10.40, E284*7.55)</f>
        <v/>
      </c>
      <c r="H284" t="n">
        <v>0</v>
      </c>
      <c r="I284">
        <f>H284-G284</f>
        <v/>
      </c>
    </row>
    <row r="285">
      <c r="A285" t="inlineStr">
        <is>
          <t>SB-0803</t>
        </is>
      </c>
      <c r="B285" t="inlineStr">
        <is>
          <t>Hannah Orozco</t>
        </is>
      </c>
      <c r="C285" t="n">
        <v>57</v>
      </c>
      <c r="D285" t="n">
        <v>32</v>
      </c>
      <c r="E285">
        <f>MAX(CEILING.MATH(C285, 1), D285)</f>
        <v/>
      </c>
      <c r="F285" t="inlineStr">
        <is>
          <t>OPEN</t>
        </is>
      </c>
      <c r="G285">
        <f>IF(F285="COVERED", E285*10.40, E285*7.55)</f>
        <v/>
      </c>
      <c r="H285" t="n">
        <v>0</v>
      </c>
      <c r="I285">
        <f>H285-G285</f>
        <v/>
      </c>
    </row>
    <row r="286">
      <c r="A286" t="inlineStr">
        <is>
          <t>SB-0804</t>
        </is>
      </c>
      <c r="B286" t="inlineStr">
        <is>
          <t>Justin Johnson</t>
        </is>
      </c>
      <c r="C286" t="n">
        <v>44.8</v>
      </c>
      <c r="D286" t="n">
        <v>24</v>
      </c>
      <c r="E286">
        <f>MAX(CEILING.MATH(C286, 1), D286)</f>
        <v/>
      </c>
      <c r="F286" t="inlineStr">
        <is>
          <t>OPEN</t>
        </is>
      </c>
      <c r="G286">
        <f>IF(F286="COVERED", E286*10.40, E286*7.55)</f>
        <v/>
      </c>
      <c r="H286" t="n">
        <v>0</v>
      </c>
      <c r="I286">
        <f>H286-G286</f>
        <v/>
      </c>
    </row>
    <row r="287">
      <c r="A287" t="inlineStr">
        <is>
          <t>SB-0805</t>
        </is>
      </c>
      <c r="B287" t="inlineStr">
        <is>
          <t>Kimberly Brown</t>
        </is>
      </c>
      <c r="C287" t="n">
        <v>21.9</v>
      </c>
      <c r="D287" t="n">
        <v>24</v>
      </c>
      <c r="E287">
        <f>MAX(CEILING.MATH(C287, 1), D287)</f>
        <v/>
      </c>
      <c r="F287" t="inlineStr">
        <is>
          <t>OPEN</t>
        </is>
      </c>
      <c r="G287">
        <f>IF(F287="COVERED", E287*10.40, E287*7.55)</f>
        <v/>
      </c>
      <c r="H287" t="n">
        <v>0</v>
      </c>
      <c r="I287">
        <f>H287-G287</f>
        <v/>
      </c>
    </row>
    <row r="288">
      <c r="A288" t="inlineStr">
        <is>
          <t>SB-0806</t>
        </is>
      </c>
      <c r="B288" t="inlineStr">
        <is>
          <t>Penny Nelson</t>
        </is>
      </c>
      <c r="C288" t="n">
        <v>61.1</v>
      </c>
      <c r="D288" t="n">
        <v>28</v>
      </c>
      <c r="E288">
        <f>MAX(CEILING.MATH(C288, 1), D288)</f>
        <v/>
      </c>
      <c r="F288" t="inlineStr">
        <is>
          <t>OPEN</t>
        </is>
      </c>
      <c r="G288">
        <f>IF(F288="COVERED", E288*10.40, E288*7.55)</f>
        <v/>
      </c>
      <c r="H288" t="n">
        <v>0</v>
      </c>
      <c r="I288">
        <f>H288-G288</f>
        <v/>
      </c>
    </row>
    <row r="289">
      <c r="A289" t="inlineStr">
        <is>
          <t>SB-0808</t>
        </is>
      </c>
      <c r="B289" t="inlineStr">
        <is>
          <t>Heather Hall</t>
        </is>
      </c>
      <c r="C289" t="n">
        <v>22.2</v>
      </c>
      <c r="D289" t="n">
        <v>28</v>
      </c>
      <c r="E289">
        <f>MAX(CEILING.MATH(C289, 1), D289)</f>
        <v/>
      </c>
      <c r="F289" t="inlineStr">
        <is>
          <t>OPEN</t>
        </is>
      </c>
      <c r="G289">
        <f>IF(F289="COVERED", E289*10.40, E289*7.55)</f>
        <v/>
      </c>
      <c r="H289" t="n">
        <v>0</v>
      </c>
      <c r="I289">
        <f>H289-G289</f>
        <v/>
      </c>
    </row>
    <row r="290">
      <c r="A290" t="inlineStr">
        <is>
          <t>SB-0809</t>
        </is>
      </c>
      <c r="B290" t="inlineStr">
        <is>
          <t>Tara Sanders</t>
        </is>
      </c>
      <c r="C290" t="n">
        <v>21.2</v>
      </c>
      <c r="D290" t="n">
        <v>45</v>
      </c>
      <c r="E290">
        <f>MAX(CEILING.MATH(C290, 1), D290)</f>
        <v/>
      </c>
      <c r="F290" t="inlineStr">
        <is>
          <t>OPEN</t>
        </is>
      </c>
      <c r="G290">
        <f>IF(F290="COVERED", E290*10.40, E290*7.55)</f>
        <v/>
      </c>
      <c r="H290" t="n">
        <v>0</v>
      </c>
      <c r="I290">
        <f>H290-G290</f>
        <v/>
      </c>
    </row>
    <row r="291">
      <c r="A291" t="inlineStr">
        <is>
          <t>SB-0810</t>
        </is>
      </c>
      <c r="B291" t="inlineStr">
        <is>
          <t>Mark Myers</t>
        </is>
      </c>
      <c r="C291" t="n">
        <v>34.1</v>
      </c>
      <c r="D291" t="n">
        <v>40</v>
      </c>
      <c r="E291">
        <f>MAX(CEILING.MATH(C291, 1), D291)</f>
        <v/>
      </c>
      <c r="F291" t="inlineStr">
        <is>
          <t>OPEN</t>
        </is>
      </c>
      <c r="G291">
        <f>IF(F291="COVERED", E291*10.40, E291*7.55)</f>
        <v/>
      </c>
      <c r="H291" t="n">
        <v>0</v>
      </c>
      <c r="I291">
        <f>H291-G291</f>
        <v/>
      </c>
    </row>
    <row r="292">
      <c r="A292" t="inlineStr">
        <is>
          <t>SB-0812</t>
        </is>
      </c>
      <c r="B292" t="inlineStr">
        <is>
          <t>Amy Murray</t>
        </is>
      </c>
      <c r="C292" t="n">
        <v>22.1</v>
      </c>
      <c r="D292" t="n">
        <v>32</v>
      </c>
      <c r="E292">
        <f>MAX(CEILING.MATH(C292, 1), D292)</f>
        <v/>
      </c>
      <c r="F292" t="inlineStr">
        <is>
          <t>OPEN</t>
        </is>
      </c>
      <c r="G292">
        <f>IF(F292="COVERED", E292*10.40, E292*7.55)</f>
        <v/>
      </c>
      <c r="H292" t="n">
        <v>0</v>
      </c>
      <c r="I292">
        <f>H292-G292</f>
        <v/>
      </c>
    </row>
    <row r="293">
      <c r="A293" t="inlineStr">
        <is>
          <t>SB-0813</t>
        </is>
      </c>
      <c r="B293" t="inlineStr">
        <is>
          <t>Robert Shannon</t>
        </is>
      </c>
      <c r="C293" t="n">
        <v>24.6</v>
      </c>
      <c r="D293" t="n">
        <v>24</v>
      </c>
      <c r="E293">
        <f>MAX(CEILING.MATH(C293, 1), D293)</f>
        <v/>
      </c>
      <c r="F293" t="inlineStr">
        <is>
          <t>OPEN</t>
        </is>
      </c>
      <c r="G293">
        <f>IF(F293="COVERED", E293*10.40, E293*7.55)</f>
        <v/>
      </c>
      <c r="H293" t="n">
        <v>0</v>
      </c>
      <c r="I293">
        <f>H293-G293</f>
        <v/>
      </c>
    </row>
    <row r="294">
      <c r="A294" t="inlineStr">
        <is>
          <t>SB-0814</t>
        </is>
      </c>
      <c r="B294" t="inlineStr">
        <is>
          <t>John Williams</t>
        </is>
      </c>
      <c r="C294" t="n">
        <v>52.3</v>
      </c>
      <c r="D294" t="n">
        <v>28</v>
      </c>
      <c r="E294">
        <f>MAX(CEILING.MATH(C294, 1), D294)</f>
        <v/>
      </c>
      <c r="F294" t="inlineStr">
        <is>
          <t>OPEN</t>
        </is>
      </c>
      <c r="G294">
        <f>IF(F294="COVERED", E294*10.40, E294*7.55)</f>
        <v/>
      </c>
      <c r="H294" t="n">
        <v>0</v>
      </c>
      <c r="I294">
        <f>H294-G294</f>
        <v/>
      </c>
    </row>
    <row r="295">
      <c r="A295" t="inlineStr">
        <is>
          <t>SB-0815</t>
        </is>
      </c>
      <c r="B295" t="inlineStr">
        <is>
          <t>April Nguyen</t>
        </is>
      </c>
      <c r="C295" t="n">
        <v>25.9</v>
      </c>
      <c r="D295" t="n">
        <v>70</v>
      </c>
      <c r="E295">
        <f>MAX(CEILING.MATH(C295, 1), D295)</f>
        <v/>
      </c>
      <c r="F295" t="inlineStr">
        <is>
          <t>OPEN</t>
        </is>
      </c>
      <c r="G295">
        <f>IF(F295="COVERED", E295*10.40, E295*7.55)</f>
        <v/>
      </c>
      <c r="H295" t="n">
        <v>0</v>
      </c>
      <c r="I295">
        <f>H295-G295</f>
        <v/>
      </c>
    </row>
    <row r="296">
      <c r="A296" t="inlineStr">
        <is>
          <t>SB-0816</t>
        </is>
      </c>
      <c r="B296" t="inlineStr">
        <is>
          <t>Joshua Weaver</t>
        </is>
      </c>
      <c r="C296" t="n">
        <v>46.5</v>
      </c>
      <c r="D296" t="n">
        <v>28</v>
      </c>
      <c r="E296">
        <f>MAX(CEILING.MATH(C296, 1), D296)</f>
        <v/>
      </c>
      <c r="F296" t="inlineStr">
        <is>
          <t>OPEN</t>
        </is>
      </c>
      <c r="G296">
        <f>IF(F296="COVERED", E296*10.40, E296*7.55)</f>
        <v/>
      </c>
      <c r="H296" t="n">
        <v>0</v>
      </c>
      <c r="I296">
        <f>H296-G296</f>
        <v/>
      </c>
    </row>
    <row r="297">
      <c r="A297" t="inlineStr">
        <is>
          <t>SB-0818</t>
        </is>
      </c>
      <c r="B297" t="inlineStr">
        <is>
          <t>Mary Murillo</t>
        </is>
      </c>
      <c r="C297" t="n">
        <v>28</v>
      </c>
      <c r="D297" t="n">
        <v>70</v>
      </c>
      <c r="E297">
        <f>MAX(CEILING.MATH(C297, 1), D297)</f>
        <v/>
      </c>
      <c r="F297" t="inlineStr">
        <is>
          <t>OPEN</t>
        </is>
      </c>
      <c r="G297">
        <f>IF(F297="COVERED", E297*10.40, E297*7.55)</f>
        <v/>
      </c>
      <c r="H297" t="n">
        <v>0</v>
      </c>
      <c r="I297">
        <f>H297-G297</f>
        <v/>
      </c>
    </row>
    <row r="298">
      <c r="A298" t="inlineStr">
        <is>
          <t>SB-0819</t>
        </is>
      </c>
      <c r="B298" t="inlineStr">
        <is>
          <t>Jason Bradley</t>
        </is>
      </c>
      <c r="C298" t="n">
        <v>25.9</v>
      </c>
      <c r="D298" t="n">
        <v>24</v>
      </c>
      <c r="E298">
        <f>MAX(CEILING.MATH(C298, 1), D298)</f>
        <v/>
      </c>
      <c r="F298" t="inlineStr">
        <is>
          <t>OPEN</t>
        </is>
      </c>
      <c r="G298">
        <f>IF(F298="COVERED", E298*10.40, E298*7.55)</f>
        <v/>
      </c>
      <c r="H298" t="n">
        <v>0</v>
      </c>
      <c r="I298">
        <f>H298-G298</f>
        <v/>
      </c>
    </row>
    <row r="299">
      <c r="A299" t="inlineStr">
        <is>
          <t>SB-0820</t>
        </is>
      </c>
      <c r="B299" t="inlineStr">
        <is>
          <t>Walter Adams</t>
        </is>
      </c>
      <c r="C299" t="n">
        <v>47.3</v>
      </c>
      <c r="D299" t="n">
        <v>40</v>
      </c>
      <c r="E299">
        <f>MAX(CEILING.MATH(C299, 1), D299)</f>
        <v/>
      </c>
      <c r="F299" t="inlineStr">
        <is>
          <t>OPEN</t>
        </is>
      </c>
      <c r="G299">
        <f>IF(F299="COVERED", E299*10.40, E299*7.55)</f>
        <v/>
      </c>
      <c r="H299" t="n">
        <v>0</v>
      </c>
      <c r="I299">
        <f>H299-G299</f>
        <v/>
      </c>
    </row>
    <row r="300">
      <c r="A300" t="inlineStr">
        <is>
          <t>SB-0821</t>
        </is>
      </c>
      <c r="B300" t="inlineStr">
        <is>
          <t>Michael Price</t>
        </is>
      </c>
      <c r="C300" t="n">
        <v>26.8</v>
      </c>
      <c r="D300" t="n">
        <v>36</v>
      </c>
      <c r="E300">
        <f>MAX(CEILING.MATH(C300, 1), D300)</f>
        <v/>
      </c>
      <c r="F300" t="inlineStr">
        <is>
          <t>OPEN</t>
        </is>
      </c>
      <c r="G300">
        <f>IF(F300="COVERED", E300*10.40, E300*7.55)</f>
        <v/>
      </c>
      <c r="H300" t="n">
        <v>0</v>
      </c>
      <c r="I300">
        <f>H300-G300</f>
        <v/>
      </c>
    </row>
    <row r="301">
      <c r="A301" t="inlineStr">
        <is>
          <t>SB-0822</t>
        </is>
      </c>
      <c r="B301" t="inlineStr">
        <is>
          <t>Terri Johnston</t>
        </is>
      </c>
      <c r="C301" t="n">
        <v>34.6</v>
      </c>
      <c r="D301" t="n">
        <v>32</v>
      </c>
      <c r="E301">
        <f>MAX(CEILING.MATH(C301, 1), D301)</f>
        <v/>
      </c>
      <c r="F301" t="inlineStr">
        <is>
          <t>OPEN</t>
        </is>
      </c>
      <c r="G301">
        <f>IF(F301="COVERED", E301*10.40, E301*7.55)</f>
        <v/>
      </c>
      <c r="H301" t="n">
        <v>0</v>
      </c>
      <c r="I301">
        <f>H301-G301</f>
        <v/>
      </c>
    </row>
    <row r="302">
      <c r="A302" t="inlineStr">
        <is>
          <t>SB-0824</t>
        </is>
      </c>
      <c r="B302" t="inlineStr">
        <is>
          <t>Paul Smith</t>
        </is>
      </c>
      <c r="C302" t="n">
        <v>43.8</v>
      </c>
      <c r="D302" t="n">
        <v>24</v>
      </c>
      <c r="E302">
        <f>MAX(CEILING.MATH(C302, 1), D302)</f>
        <v/>
      </c>
      <c r="F302" t="inlineStr">
        <is>
          <t>OPEN</t>
        </is>
      </c>
      <c r="G302">
        <f>IF(F302="COVERED", E302*10.40, E302*7.55)</f>
        <v/>
      </c>
      <c r="H302" t="n">
        <v>0</v>
      </c>
      <c r="I302">
        <f>H302-G302</f>
        <v/>
      </c>
    </row>
    <row r="303">
      <c r="A303" t="inlineStr">
        <is>
          <t>SB-0901</t>
        </is>
      </c>
      <c r="B303" t="inlineStr">
        <is>
          <t>Gilbert Rodriguez</t>
        </is>
      </c>
      <c r="C303" t="n">
        <v>44.7</v>
      </c>
      <c r="D303" t="n">
        <v>45</v>
      </c>
      <c r="E303">
        <f>MAX(CEILING.MATH(C303, 1), D303)</f>
        <v/>
      </c>
      <c r="F303" t="inlineStr">
        <is>
          <t>OPEN</t>
        </is>
      </c>
      <c r="G303">
        <f>IF(F303="COVERED", E303*10.40, E303*7.55)</f>
        <v/>
      </c>
      <c r="H303" t="n">
        <v>0</v>
      </c>
      <c r="I303">
        <f>H303-G303</f>
        <v/>
      </c>
    </row>
    <row r="304">
      <c r="A304" t="inlineStr">
        <is>
          <t>SB-0903</t>
        </is>
      </c>
      <c r="B304" t="inlineStr">
        <is>
          <t>Crystal Moore</t>
        </is>
      </c>
      <c r="C304" t="n">
        <v>31.9</v>
      </c>
      <c r="D304" t="n">
        <v>80</v>
      </c>
      <c r="E304">
        <f>MAX(CEILING.MATH(C304, 1), D304)</f>
        <v/>
      </c>
      <c r="F304" t="inlineStr">
        <is>
          <t>OPEN</t>
        </is>
      </c>
      <c r="G304">
        <f>IF(F304="COVERED", E304*10.40, E304*7.55)</f>
        <v/>
      </c>
      <c r="H304" t="n">
        <v>0</v>
      </c>
      <c r="I304">
        <f>H304-G304</f>
        <v/>
      </c>
    </row>
    <row r="305">
      <c r="A305" t="inlineStr">
        <is>
          <t>SB-0904</t>
        </is>
      </c>
      <c r="B305" t="inlineStr">
        <is>
          <t>Michele Jones</t>
        </is>
      </c>
      <c r="C305" t="n">
        <v>59.4</v>
      </c>
      <c r="D305" t="n">
        <v>80</v>
      </c>
      <c r="E305">
        <f>MAX(CEILING.MATH(C305, 1), D305)</f>
        <v/>
      </c>
      <c r="F305" t="inlineStr">
        <is>
          <t>OPEN</t>
        </is>
      </c>
      <c r="G305">
        <f>IF(F305="COVERED", E305*10.40, E305*7.55)</f>
        <v/>
      </c>
      <c r="H305" t="n">
        <v>0</v>
      </c>
      <c r="I305">
        <f>H305-G305</f>
        <v/>
      </c>
    </row>
    <row r="306">
      <c r="A306" t="inlineStr">
        <is>
          <t>SB-0905</t>
        </is>
      </c>
      <c r="B306" t="inlineStr">
        <is>
          <t>Christopher Mitchell</t>
        </is>
      </c>
      <c r="C306" t="n">
        <v>42.9</v>
      </c>
      <c r="D306" t="n">
        <v>32</v>
      </c>
      <c r="E306">
        <f>MAX(CEILING.MATH(C306, 1), D306)</f>
        <v/>
      </c>
      <c r="F306" t="inlineStr">
        <is>
          <t>OPEN</t>
        </is>
      </c>
      <c r="G306">
        <f>IF(F306="COVERED", E306*10.40, E306*7.55)</f>
        <v/>
      </c>
      <c r="H306" t="n">
        <v>0</v>
      </c>
      <c r="I306">
        <f>H306-G306</f>
        <v/>
      </c>
    </row>
    <row r="307">
      <c r="A307" t="inlineStr">
        <is>
          <t>SB-0906</t>
        </is>
      </c>
      <c r="B307" t="inlineStr">
        <is>
          <t>Kevin Benson</t>
        </is>
      </c>
      <c r="C307" t="n">
        <v>44</v>
      </c>
      <c r="D307" t="n">
        <v>36</v>
      </c>
      <c r="E307">
        <f>MAX(CEILING.MATH(C307, 1), D307)</f>
        <v/>
      </c>
      <c r="F307" t="inlineStr">
        <is>
          <t>OPEN</t>
        </is>
      </c>
      <c r="G307">
        <f>IF(F307="COVERED", E307*10.40, E307*7.55)</f>
        <v/>
      </c>
      <c r="H307" t="n">
        <v>0</v>
      </c>
      <c r="I307">
        <f>H307-G307</f>
        <v/>
      </c>
    </row>
    <row r="308">
      <c r="A308" t="inlineStr">
        <is>
          <t>SB-0908</t>
        </is>
      </c>
      <c r="B308" t="inlineStr">
        <is>
          <t>Christine Johnson</t>
        </is>
      </c>
      <c r="C308" t="n">
        <v>53.6</v>
      </c>
      <c r="D308" t="n">
        <v>36</v>
      </c>
      <c r="E308">
        <f>MAX(CEILING.MATH(C308, 1), D308)</f>
        <v/>
      </c>
      <c r="F308" t="inlineStr">
        <is>
          <t>OPEN</t>
        </is>
      </c>
      <c r="G308">
        <f>IF(F308="COVERED", E308*10.40, E308*7.55)</f>
        <v/>
      </c>
      <c r="H308" t="n">
        <v>0</v>
      </c>
      <c r="I308">
        <f>H308-G308</f>
        <v/>
      </c>
    </row>
    <row r="309">
      <c r="A309" t="inlineStr">
        <is>
          <t>SB-0909</t>
        </is>
      </c>
      <c r="B309" t="inlineStr">
        <is>
          <t>Glenda Perkins</t>
        </is>
      </c>
      <c r="C309" t="n">
        <v>52.9</v>
      </c>
      <c r="D309" t="n">
        <v>24</v>
      </c>
      <c r="E309">
        <f>MAX(CEILING.MATH(C309, 1), D309)</f>
        <v/>
      </c>
      <c r="F309" t="inlineStr">
        <is>
          <t>OPEN</t>
        </is>
      </c>
      <c r="G309">
        <f>IF(F309="COVERED", E309*10.40, E309*7.55)</f>
        <v/>
      </c>
      <c r="H309" t="n">
        <v>0</v>
      </c>
      <c r="I309">
        <f>H309-G309</f>
        <v/>
      </c>
    </row>
    <row r="310">
      <c r="A310" t="inlineStr">
        <is>
          <t>SB-0910</t>
        </is>
      </c>
      <c r="B310" t="inlineStr">
        <is>
          <t>Kayla Moore</t>
        </is>
      </c>
      <c r="C310" t="n">
        <v>61.1</v>
      </c>
      <c r="D310" t="n">
        <v>28</v>
      </c>
      <c r="E310">
        <f>MAX(CEILING.MATH(C310, 1), D310)</f>
        <v/>
      </c>
      <c r="F310" t="inlineStr">
        <is>
          <t>OPEN</t>
        </is>
      </c>
      <c r="G310">
        <f>IF(F310="COVERED", E310*10.40, E310*7.55)</f>
        <v/>
      </c>
      <c r="H310" t="n">
        <v>0</v>
      </c>
      <c r="I310">
        <f>H310-G310</f>
        <v/>
      </c>
    </row>
    <row r="311">
      <c r="A311" t="inlineStr">
        <is>
          <t>SB-0911</t>
        </is>
      </c>
      <c r="B311" t="inlineStr">
        <is>
          <t>Alan Ortiz</t>
        </is>
      </c>
      <c r="C311" t="n">
        <v>52.6</v>
      </c>
      <c r="D311" t="n">
        <v>28</v>
      </c>
      <c r="E311">
        <f>MAX(CEILING.MATH(C311, 1), D311)</f>
        <v/>
      </c>
      <c r="F311" t="inlineStr">
        <is>
          <t>OPEN</t>
        </is>
      </c>
      <c r="G311">
        <f>IF(F311="COVERED", E311*10.40, E311*7.55)</f>
        <v/>
      </c>
      <c r="H311" t="n">
        <v>0</v>
      </c>
      <c r="I311">
        <f>H311-G311</f>
        <v/>
      </c>
    </row>
    <row r="312">
      <c r="A312" t="inlineStr">
        <is>
          <t>SB-0912</t>
        </is>
      </c>
      <c r="B312" t="inlineStr">
        <is>
          <t>Christy Chambers</t>
        </is>
      </c>
      <c r="C312" t="n">
        <v>58.2</v>
      </c>
      <c r="D312" t="n">
        <v>32</v>
      </c>
      <c r="E312">
        <f>MAX(CEILING.MATH(C312, 1), D312)</f>
        <v/>
      </c>
      <c r="F312" t="inlineStr">
        <is>
          <t>OPEN</t>
        </is>
      </c>
      <c r="G312">
        <f>IF(F312="COVERED", E312*10.40, E312*7.55)</f>
        <v/>
      </c>
      <c r="H312" t="n">
        <v>0</v>
      </c>
      <c r="I312">
        <f>H312-G312</f>
        <v/>
      </c>
    </row>
    <row r="313">
      <c r="A313" t="inlineStr">
        <is>
          <t>SB-0913</t>
        </is>
      </c>
      <c r="B313" t="inlineStr">
        <is>
          <t>Eric Forbes</t>
        </is>
      </c>
      <c r="C313" t="n">
        <v>57.3</v>
      </c>
      <c r="D313" t="n">
        <v>28</v>
      </c>
      <c r="E313">
        <f>MAX(CEILING.MATH(C313, 1), D313)</f>
        <v/>
      </c>
      <c r="F313" t="inlineStr">
        <is>
          <t>OPEN</t>
        </is>
      </c>
      <c r="G313">
        <f>IF(F313="COVERED", E313*10.40, E313*7.55)</f>
        <v/>
      </c>
      <c r="H313" t="n">
        <v>0</v>
      </c>
      <c r="I313">
        <f>H313-G313</f>
        <v/>
      </c>
    </row>
    <row r="314">
      <c r="A314" t="inlineStr">
        <is>
          <t>SB-0914</t>
        </is>
      </c>
      <c r="B314" t="inlineStr">
        <is>
          <t>John Shah</t>
        </is>
      </c>
      <c r="C314" t="n">
        <v>27.7</v>
      </c>
      <c r="D314" t="n">
        <v>50</v>
      </c>
      <c r="E314">
        <f>MAX(CEILING.MATH(C314, 1), D314)</f>
        <v/>
      </c>
      <c r="F314" t="inlineStr">
        <is>
          <t>OPEN</t>
        </is>
      </c>
      <c r="G314">
        <f>IF(F314="COVERED", E314*10.40, E314*7.55)</f>
        <v/>
      </c>
      <c r="H314" t="n">
        <v>0</v>
      </c>
      <c r="I314">
        <f>H314-G314</f>
        <v/>
      </c>
    </row>
    <row r="315">
      <c r="A315" t="inlineStr">
        <is>
          <t>SB-0915</t>
        </is>
      </c>
      <c r="B315" t="inlineStr">
        <is>
          <t>Timothy Johnson</t>
        </is>
      </c>
      <c r="C315" t="n">
        <v>58.9</v>
      </c>
      <c r="D315" t="n">
        <v>32</v>
      </c>
      <c r="E315">
        <f>MAX(CEILING.MATH(C315, 1), D315)</f>
        <v/>
      </c>
      <c r="F315" t="inlineStr">
        <is>
          <t>OPEN</t>
        </is>
      </c>
      <c r="G315">
        <f>IF(F315="COVERED", E315*10.40, E315*7.55)</f>
        <v/>
      </c>
      <c r="H315" t="n">
        <v>0</v>
      </c>
      <c r="I315">
        <f>H315-G315</f>
        <v/>
      </c>
    </row>
    <row r="316">
      <c r="A316" t="inlineStr">
        <is>
          <t>SB-0916</t>
        </is>
      </c>
      <c r="B316" t="inlineStr">
        <is>
          <t>Gina Hudson</t>
        </is>
      </c>
      <c r="C316" t="n">
        <v>43.1</v>
      </c>
      <c r="D316" t="n">
        <v>60</v>
      </c>
      <c r="E316">
        <f>MAX(CEILING.MATH(C316, 1), D316)</f>
        <v/>
      </c>
      <c r="F316" t="inlineStr">
        <is>
          <t>OPEN</t>
        </is>
      </c>
      <c r="G316">
        <f>IF(F316="COVERED", E316*10.40, E316*7.55)</f>
        <v/>
      </c>
      <c r="H316" t="n">
        <v>0</v>
      </c>
      <c r="I316">
        <f>H316-G316</f>
        <v/>
      </c>
    </row>
    <row r="317">
      <c r="A317" t="inlineStr">
        <is>
          <t>SB-0917</t>
        </is>
      </c>
      <c r="B317" t="inlineStr">
        <is>
          <t>Peter Jenkins</t>
        </is>
      </c>
      <c r="C317" t="n">
        <v>48.2</v>
      </c>
      <c r="D317" t="n">
        <v>45</v>
      </c>
      <c r="E317">
        <f>MAX(CEILING.MATH(C317, 1), D317)</f>
        <v/>
      </c>
      <c r="F317" t="inlineStr">
        <is>
          <t>OPEN</t>
        </is>
      </c>
      <c r="G317">
        <f>IF(F317="COVERED", E317*10.40, E317*7.55)</f>
        <v/>
      </c>
      <c r="H317" t="n">
        <v>0</v>
      </c>
      <c r="I317">
        <f>H317-G317</f>
        <v/>
      </c>
    </row>
    <row r="318">
      <c r="A318" t="inlineStr">
        <is>
          <t>SB-0918</t>
        </is>
      </c>
      <c r="B318" t="inlineStr">
        <is>
          <t>Laura Franklin</t>
        </is>
      </c>
      <c r="C318" t="n">
        <v>56.6</v>
      </c>
      <c r="D318" t="n">
        <v>80</v>
      </c>
      <c r="E318">
        <f>MAX(CEILING.MATH(C318, 1), D318)</f>
        <v/>
      </c>
      <c r="F318" t="inlineStr">
        <is>
          <t>OPEN</t>
        </is>
      </c>
      <c r="G318">
        <f>IF(F318="COVERED", E318*10.40, E318*7.55)</f>
        <v/>
      </c>
      <c r="H318" t="n">
        <v>0</v>
      </c>
      <c r="I318">
        <f>H318-G318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</t>
        </is>
      </c>
      <c r="B1" t="inlineStr">
        <is>
          <t>Slip ID</t>
        </is>
      </c>
      <c r="C1" t="inlineStr">
        <is>
          <t>Tenant</t>
        </is>
      </c>
      <c r="D1" t="inlineStr">
        <is>
          <t>91-120 Days</t>
        </is>
      </c>
      <c r="E1" t="inlineStr">
        <is>
          <t>120+ Days</t>
        </is>
      </c>
      <c r="F1" t="inlineStr">
        <is>
          <t>Delinquent Balance</t>
        </is>
      </c>
    </row>
    <row r="2">
      <c r="A2" t="inlineStr">
        <is>
          <t>AC-LP-0122</t>
        </is>
      </c>
      <c r="B2" t="inlineStr">
        <is>
          <t>LP-0122</t>
        </is>
      </c>
      <c r="C2" t="inlineStr">
        <is>
          <t>Paula Arroyo</t>
        </is>
      </c>
      <c r="D2" t="n">
        <v>509.6</v>
      </c>
      <c r="E2" t="n">
        <v>0</v>
      </c>
      <c r="F2">
        <f>D2+E2</f>
        <v/>
      </c>
    </row>
    <row r="3">
      <c r="A3" t="inlineStr">
        <is>
          <t>AC-LP-0402</t>
        </is>
      </c>
      <c r="B3" t="inlineStr">
        <is>
          <t>LP-0402</t>
        </is>
      </c>
      <c r="C3" t="inlineStr">
        <is>
          <t>Dawn Brown</t>
        </is>
      </c>
      <c r="D3" t="n">
        <v>384.8</v>
      </c>
      <c r="E3" t="n">
        <v>0</v>
      </c>
      <c r="F3">
        <f>D3+E3</f>
        <v/>
      </c>
    </row>
    <row r="4">
      <c r="A4" t="inlineStr">
        <is>
          <t>AC-LP-0602</t>
        </is>
      </c>
      <c r="B4" t="inlineStr">
        <is>
          <t>LP-0602</t>
        </is>
      </c>
      <c r="C4" t="inlineStr">
        <is>
          <t>Lee Maldonado</t>
        </is>
      </c>
      <c r="D4" t="n">
        <v>603.2</v>
      </c>
      <c r="E4" t="n">
        <v>603.2</v>
      </c>
      <c r="F4">
        <f>D4+E4</f>
        <v/>
      </c>
    </row>
    <row r="5">
      <c r="A5" t="inlineStr">
        <is>
          <t>AC-LP-0605</t>
        </is>
      </c>
      <c r="B5" t="inlineStr">
        <is>
          <t>LP-0605</t>
        </is>
      </c>
      <c r="C5" t="inlineStr">
        <is>
          <t>Andrew Anderson</t>
        </is>
      </c>
      <c r="D5" t="n">
        <v>530.4</v>
      </c>
      <c r="E5" t="n">
        <v>0</v>
      </c>
      <c r="F5">
        <f>D5+E5</f>
        <v/>
      </c>
    </row>
    <row r="6">
      <c r="A6" t="inlineStr">
        <is>
          <t>AC-LP-0713</t>
        </is>
      </c>
      <c r="B6" t="inlineStr">
        <is>
          <t>LP-0713</t>
        </is>
      </c>
      <c r="C6" t="inlineStr">
        <is>
          <t>Stacey Mitchell</t>
        </is>
      </c>
      <c r="D6" t="n">
        <v>416</v>
      </c>
      <c r="E6" t="n">
        <v>832</v>
      </c>
      <c r="F6">
        <f>D6+E6</f>
        <v/>
      </c>
    </row>
    <row r="7">
      <c r="A7" t="inlineStr">
        <is>
          <t>AC-LP-0801</t>
        </is>
      </c>
      <c r="B7" t="inlineStr">
        <is>
          <t>LP-0801</t>
        </is>
      </c>
      <c r="C7" t="inlineStr">
        <is>
          <t>Allison Nguyen</t>
        </is>
      </c>
      <c r="D7" t="n">
        <v>488.8</v>
      </c>
      <c r="E7" t="n">
        <v>0</v>
      </c>
      <c r="F7">
        <f>D7+E7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2026-09-14T12:59:12Z</dcterms:created>
  <dcterms:modified xmlns:dcterms="http://purl.org/dc/terms/" xmlns:xsi="http://www.w3.org/2001/XMLSchema-instance" xsi:type="dcterms:W3CDTF">2026-09-14T12:59:12Z</dcterms:modified>
</cp:coreProperties>
</file>